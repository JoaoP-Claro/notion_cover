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es\Desktop\"/>
    </mc:Choice>
  </mc:AlternateContent>
  <xr:revisionPtr revIDLastSave="0" documentId="13_ncr:1_{487A5AF7-EF93-428F-829D-3F3A36E724FE}" xr6:coauthVersionLast="47" xr6:coauthVersionMax="47" xr10:uidLastSave="{00000000-0000-0000-0000-000000000000}"/>
  <bookViews>
    <workbookView xWindow="-120" yWindow="-120" windowWidth="29040" windowHeight="15840" xr2:uid="{68AA03ED-5879-4073-9E06-DBF449D7DBE7}"/>
  </bookViews>
  <sheets>
    <sheet name="Sheet1" sheetId="1" r:id="rId1"/>
    <sheet name="Sheet3" sheetId="3" r:id="rId2"/>
    <sheet name="Sheet2" sheetId="4" r:id="rId3"/>
    <sheet name="Sheet4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1" i="4" l="1"/>
  <c r="B22" i="4"/>
  <c r="B23" i="4"/>
  <c r="B24" i="4"/>
  <c r="B25" i="4"/>
  <c r="E22" i="4"/>
  <c r="E23" i="4"/>
  <c r="E24" i="4"/>
  <c r="E25" i="4"/>
  <c r="E21" i="4"/>
  <c r="B20" i="4"/>
  <c r="D21" i="4"/>
  <c r="O21" i="4"/>
  <c r="E16" i="4"/>
  <c r="E17" i="4"/>
  <c r="E18" i="4"/>
  <c r="E19" i="4"/>
  <c r="E15" i="4"/>
  <c r="D16" i="4"/>
  <c r="D17" i="4"/>
  <c r="D18" i="4" s="1"/>
  <c r="D15" i="4"/>
  <c r="B14" i="4"/>
  <c r="B15" i="4"/>
  <c r="B16" i="4"/>
  <c r="B4" i="4"/>
  <c r="B5" i="4"/>
  <c r="B6" i="4"/>
  <c r="B7" i="4"/>
  <c r="B8" i="4"/>
  <c r="B9" i="4"/>
  <c r="B10" i="4"/>
  <c r="B11" i="4"/>
  <c r="B12" i="4"/>
  <c r="B13" i="4"/>
  <c r="D4" i="4"/>
  <c r="D5" i="4" s="1"/>
  <c r="D3" i="4"/>
  <c r="E4" i="4"/>
  <c r="G29" i="3"/>
  <c r="G35" i="3"/>
  <c r="P34" i="3"/>
  <c r="K28" i="3" s="1"/>
  <c r="D33" i="3"/>
  <c r="C33" i="3"/>
  <c r="E9" i="3"/>
  <c r="G9" i="3"/>
  <c r="F9" i="3" s="1"/>
  <c r="E10" i="3"/>
  <c r="G10" i="3"/>
  <c r="B20" i="3"/>
  <c r="G20" i="3"/>
  <c r="D20" i="3"/>
  <c r="C20" i="3"/>
  <c r="G6" i="3"/>
  <c r="G7" i="3"/>
  <c r="G8" i="3"/>
  <c r="G11" i="3"/>
  <c r="G12" i="3"/>
  <c r="F12" i="3" s="1"/>
  <c r="G13" i="3"/>
  <c r="G14" i="3"/>
  <c r="G15" i="3"/>
  <c r="G16" i="3"/>
  <c r="G17" i="3"/>
  <c r="G18" i="3"/>
  <c r="G19" i="3"/>
  <c r="G5" i="3"/>
  <c r="E18" i="3"/>
  <c r="E19" i="3"/>
  <c r="E17" i="3"/>
  <c r="E16" i="3"/>
  <c r="E15" i="3"/>
  <c r="E12" i="3"/>
  <c r="E13" i="3"/>
  <c r="E14" i="3"/>
  <c r="E11" i="3"/>
  <c r="E8" i="3"/>
  <c r="E7" i="3"/>
  <c r="E6" i="3"/>
  <c r="E5" i="3"/>
  <c r="F5" i="1" a="1"/>
  <c r="F5" i="1" s="1"/>
  <c r="G5" i="1" a="1"/>
  <c r="G5" i="1" s="1"/>
  <c r="H5" i="1" a="1"/>
  <c r="H5" i="1" s="1"/>
  <c r="I5" i="1" a="1"/>
  <c r="I5" i="1" s="1"/>
  <c r="J5" i="1" a="1"/>
  <c r="J5" i="1" s="1"/>
  <c r="K5" i="1" a="1"/>
  <c r="K5" i="1" s="1"/>
  <c r="L5" i="1" a="1"/>
  <c r="L5" i="1" s="1"/>
  <c r="M5" i="1" a="1"/>
  <c r="M5" i="1" s="1"/>
  <c r="N5" i="1" a="1"/>
  <c r="N5" i="1" s="1"/>
  <c r="O5" i="1" a="1"/>
  <c r="O5" i="1" s="1"/>
  <c r="P5" i="1" a="1"/>
  <c r="P5" i="1" s="1"/>
  <c r="Q5" i="1" a="1"/>
  <c r="Q5" i="1" s="1"/>
  <c r="R5" i="1" a="1"/>
  <c r="R5" i="1" s="1"/>
  <c r="S5" i="1" a="1"/>
  <c r="S5" i="1" s="1"/>
  <c r="T5" i="1" a="1"/>
  <c r="T5" i="1" s="1"/>
  <c r="U5" i="1" a="1"/>
  <c r="U5" i="1" s="1"/>
  <c r="V5" i="1" a="1"/>
  <c r="V5" i="1" s="1"/>
  <c r="W5" i="1" a="1"/>
  <c r="W5" i="1" s="1"/>
  <c r="X5" i="1" a="1"/>
  <c r="X5" i="1" s="1"/>
  <c r="Y5" i="1" a="1"/>
  <c r="Y5" i="1" s="1"/>
  <c r="Z5" i="1" a="1"/>
  <c r="Z5" i="1" s="1"/>
  <c r="AA5" i="1" a="1"/>
  <c r="AA5" i="1" s="1"/>
  <c r="AB5" i="1" a="1"/>
  <c r="AB5" i="1" s="1"/>
  <c r="AC5" i="1" a="1"/>
  <c r="AC5" i="1" s="1"/>
  <c r="AD5" i="1" a="1"/>
  <c r="AD5" i="1" s="1"/>
  <c r="AE5" i="1" a="1"/>
  <c r="AE5" i="1" s="1"/>
  <c r="AF5" i="1" a="1"/>
  <c r="AF5" i="1" s="1"/>
  <c r="AG5" i="1" a="1"/>
  <c r="AG5" i="1" s="1"/>
  <c r="AH5" i="1" a="1"/>
  <c r="AH5" i="1" s="1"/>
  <c r="AI5" i="1" a="1"/>
  <c r="AI5" i="1" s="1"/>
  <c r="AJ5" i="1" a="1"/>
  <c r="AJ5" i="1" s="1"/>
  <c r="AK5" i="1" a="1"/>
  <c r="AK5" i="1" s="1"/>
  <c r="AL5" i="1" a="1"/>
  <c r="AL5" i="1" s="1"/>
  <c r="AM5" i="1" a="1"/>
  <c r="AM5" i="1" s="1"/>
  <c r="AN5" i="1" a="1"/>
  <c r="AN5" i="1" s="1"/>
  <c r="AO5" i="1" a="1"/>
  <c r="AO5" i="1" s="1"/>
  <c r="AP5" i="1" a="1"/>
  <c r="AP5" i="1" s="1"/>
  <c r="AQ5" i="1" a="1"/>
  <c r="AQ5" i="1" s="1"/>
  <c r="AR5" i="1" a="1"/>
  <c r="AR5" i="1" s="1"/>
  <c r="AS5" i="1" a="1"/>
  <c r="AS5" i="1" s="1"/>
  <c r="AT5" i="1" a="1"/>
  <c r="AT5" i="1" s="1"/>
  <c r="AU5" i="1" a="1"/>
  <c r="AU5" i="1" s="1"/>
  <c r="AV5" i="1" a="1"/>
  <c r="AV5" i="1" s="1"/>
  <c r="AW5" i="1" a="1"/>
  <c r="AW5" i="1" s="1"/>
  <c r="AX5" i="1" a="1"/>
  <c r="AX5" i="1" s="1"/>
  <c r="AY5" i="1" a="1"/>
  <c r="AY5" i="1" s="1"/>
  <c r="AZ5" i="1" a="1"/>
  <c r="AZ5" i="1" s="1"/>
  <c r="BA5" i="1" a="1"/>
  <c r="BA5" i="1" s="1"/>
  <c r="BB5" i="1" a="1"/>
  <c r="BB5" i="1" s="1"/>
  <c r="BC5" i="1" a="1"/>
  <c r="BC5" i="1" s="1"/>
  <c r="BD5" i="1" a="1"/>
  <c r="BD5" i="1" s="1"/>
  <c r="BE5" i="1" a="1"/>
  <c r="BE5" i="1" s="1"/>
  <c r="E5" i="1" a="1"/>
  <c r="E5" i="1" s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E6" i="1"/>
  <c r="D22" i="4" l="1"/>
  <c r="D19" i="4"/>
  <c r="B18" i="4"/>
  <c r="B17" i="4"/>
  <c r="E5" i="4"/>
  <c r="D6" i="4"/>
  <c r="N28" i="3"/>
  <c r="M28" i="3"/>
  <c r="L28" i="3"/>
  <c r="O28" i="3"/>
  <c r="F10" i="3"/>
  <c r="F18" i="3"/>
  <c r="E20" i="3"/>
  <c r="F14" i="3"/>
  <c r="F11" i="3"/>
  <c r="F8" i="3"/>
  <c r="F7" i="3"/>
  <c r="F5" i="3"/>
  <c r="F17" i="3"/>
  <c r="F16" i="3"/>
  <c r="F20" i="3"/>
  <c r="F15" i="3"/>
  <c r="F19" i="3"/>
  <c r="F13" i="3"/>
  <c r="F6" i="3"/>
  <c r="D23" i="4" l="1"/>
  <c r="B19" i="4"/>
  <c r="E6" i="4"/>
  <c r="D7" i="4"/>
  <c r="D24" i="4" l="1"/>
  <c r="E7" i="4"/>
  <c r="D8" i="4"/>
  <c r="D9" i="4" s="1"/>
  <c r="D10" i="4" s="1"/>
  <c r="D11" i="4" s="1"/>
  <c r="D12" i="4" s="1"/>
  <c r="D13" i="4" s="1"/>
  <c r="D25" i="4" l="1"/>
  <c r="E9" i="4"/>
  <c r="E8" i="4"/>
  <c r="E10" i="4"/>
  <c r="E11" i="4" l="1"/>
  <c r="E12" i="4" l="1"/>
  <c r="E13" i="4" l="1"/>
  <c r="B3" i="4"/>
  <c r="E3" i="4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<sst xmlns="http://schemas.openxmlformats.org/spreadsheetml/2006/main" count="267" uniqueCount="216">
  <si>
    <t>Aprender a Cozinhar</t>
  </si>
  <si>
    <t>Progredir na Academia</t>
  </si>
  <si>
    <t>Parar com @#$%&amp;</t>
  </si>
  <si>
    <t>Progredir no Skate</t>
  </si>
  <si>
    <t>Ler Mais</t>
  </si>
  <si>
    <t>Aprender a Desenhar</t>
  </si>
  <si>
    <t>Método Wim Hoff</t>
  </si>
  <si>
    <t>XP</t>
  </si>
  <si>
    <t>CDB Original</t>
  </si>
  <si>
    <t>Valor inicial</t>
  </si>
  <si>
    <t>% rendimento até hoje</t>
  </si>
  <si>
    <t>Conta</t>
  </si>
  <si>
    <t>Tipo</t>
  </si>
  <si>
    <t>Fixa</t>
  </si>
  <si>
    <t>% rend anual</t>
  </si>
  <si>
    <t>Valor hoje (bruto)</t>
  </si>
  <si>
    <t>Priodos (anos)</t>
  </si>
  <si>
    <t>CDB Mercado Livre</t>
  </si>
  <si>
    <t>CDB Banco Master</t>
  </si>
  <si>
    <t>Fundos</t>
  </si>
  <si>
    <t>Kinea Chronos</t>
  </si>
  <si>
    <t>DNA Energy</t>
  </si>
  <si>
    <t>ARX Long Term</t>
  </si>
  <si>
    <t>Alaska Institucional</t>
  </si>
  <si>
    <t>XP Corporate</t>
  </si>
  <si>
    <t>COE</t>
  </si>
  <si>
    <t>Tesouro direto</t>
  </si>
  <si>
    <t>Tesouro Direto</t>
  </si>
  <si>
    <t>vencimento 13/02/2025</t>
  </si>
  <si>
    <t>vencimento 01/01/2026</t>
  </si>
  <si>
    <t>Data inicio (mm/dd)</t>
  </si>
  <si>
    <t>Açoes</t>
  </si>
  <si>
    <t>VISC11</t>
  </si>
  <si>
    <t>FII</t>
  </si>
  <si>
    <t>HCTR11</t>
  </si>
  <si>
    <t>PETR4</t>
  </si>
  <si>
    <t>BBAS3</t>
  </si>
  <si>
    <t>R$ 0.38 por açao</t>
  </si>
  <si>
    <t>R$ 0.32 por açao</t>
  </si>
  <si>
    <t>R$ 0.22 por açao</t>
  </si>
  <si>
    <t>R$ 1.00 por açao</t>
  </si>
  <si>
    <t>Total</t>
  </si>
  <si>
    <t>unica com potencial de subir além do CDI</t>
  </si>
  <si>
    <t>tirar - apenas acompanha CDI</t>
  </si>
  <si>
    <t>Nubank</t>
  </si>
  <si>
    <t>Ac</t>
  </si>
  <si>
    <t>livre</t>
  </si>
  <si>
    <t>Aprender sobre investimentos</t>
  </si>
  <si>
    <t>Voltar pra academia 4x/semana</t>
  </si>
  <si>
    <t>Investir mais nas minhas roupas</t>
  </si>
  <si>
    <t>Focar apenas em uma atividade mesmo por 3 meses acaba sendo entediante</t>
  </si>
  <si>
    <t>Talvez em vez de focar em 1 por 3 meses e fazer 4 no ano</t>
  </si>
  <si>
    <t>Focar em 4 no ano ao mesmo tempo, intercalando durante o ano dependendo da vontade</t>
  </si>
  <si>
    <t>Definir as mesmas metas como se fossem em 3 meses mas diluidas durnate o ano, sem daedline</t>
  </si>
  <si>
    <t>Mes</t>
  </si>
  <si>
    <t>cotas</t>
  </si>
  <si>
    <t>p/cota</t>
  </si>
  <si>
    <t>growth</t>
  </si>
  <si>
    <t>posiçao</t>
  </si>
  <si>
    <t>Nome</t>
  </si>
  <si>
    <t>A</t>
  </si>
  <si>
    <t>B</t>
  </si>
  <si>
    <t>C</t>
  </si>
  <si>
    <t>Dissecar mais</t>
  </si>
  <si>
    <t>-&gt;</t>
  </si>
  <si>
    <t>Tarefa mais rápido em menos tempo - 2 ou 1 mes</t>
  </si>
  <si>
    <t>Screwdriver</t>
  </si>
  <si>
    <t>Transmutation table</t>
  </si>
  <si>
    <t>Auto-Crafting Table</t>
  </si>
  <si>
    <t>Iron Chest</t>
  </si>
  <si>
    <t>Stone Bowl</t>
  </si>
  <si>
    <t>Project Table</t>
  </si>
  <si>
    <t>Scoop</t>
  </si>
  <si>
    <t>Torch x4</t>
  </si>
  <si>
    <t>Jungle wood block</t>
  </si>
  <si>
    <t>Clock</t>
  </si>
  <si>
    <t>Block Breaker</t>
  </si>
  <si>
    <t>Energy Crystal</t>
  </si>
  <si>
    <t>Deployer</t>
  </si>
  <si>
    <t>Piston</t>
  </si>
  <si>
    <t>Dispenser</t>
  </si>
  <si>
    <t>Transposer</t>
  </si>
  <si>
    <t>Timer</t>
  </si>
  <si>
    <t>Quarry</t>
  </si>
  <si>
    <t>EU detector Cable</t>
  </si>
  <si>
    <t>Miner</t>
  </si>
  <si>
    <t>MFE</t>
  </si>
  <si>
    <t>Macerator</t>
  </si>
  <si>
    <t>HV Transformer</t>
  </si>
  <si>
    <t>Electric Furnace</t>
  </si>
  <si>
    <t>Compressor</t>
  </si>
  <si>
    <t>Tesla coil</t>
  </si>
  <si>
    <t>Crop-matron</t>
  </si>
  <si>
    <t>Carpenter</t>
  </si>
  <si>
    <t>Forester</t>
  </si>
  <si>
    <t>Biogas Engine</t>
  </si>
  <si>
    <t>Rainmaker</t>
  </si>
  <si>
    <t>Eletric Egine</t>
  </si>
  <si>
    <t>Pumpkin Farm</t>
  </si>
  <si>
    <t>Bio-power Generator</t>
  </si>
  <si>
    <t>Still</t>
  </si>
  <si>
    <t>MFSU</t>
  </si>
  <si>
    <t>Terraformer</t>
  </si>
  <si>
    <t>Rotary Macerator</t>
  </si>
  <si>
    <t>Induction Furnace</t>
  </si>
  <si>
    <t>Recycler</t>
  </si>
  <si>
    <t>Singularity Compressor</t>
  </si>
  <si>
    <t>Mass fabricator</t>
  </si>
  <si>
    <t>Geothermal Generator</t>
  </si>
  <si>
    <t>Centrifuge Extractor</t>
  </si>
  <si>
    <t>Black Hole band</t>
  </si>
  <si>
    <t>Swiftwolf`s Rending Gale</t>
  </si>
  <si>
    <t>Ring of Arcana</t>
  </si>
  <si>
    <t>Harvest Godess Band</t>
  </si>
  <si>
    <t>Void Ring</t>
  </si>
  <si>
    <t>Iron Band</t>
  </si>
  <si>
    <t>Ring of iginition</t>
  </si>
  <si>
    <t>Zero Ring</t>
  </si>
  <si>
    <t>Archangel`s smite</t>
  </si>
  <si>
    <t>Body Stone</t>
  </si>
  <si>
    <t>Soul Stone</t>
  </si>
  <si>
    <t>Volcanite Amulet</t>
  </si>
  <si>
    <t>Life Stone</t>
  </si>
  <si>
    <t>Catalytic Lens</t>
  </si>
  <si>
    <t>Watch of Flowing Time</t>
  </si>
  <si>
    <t>Mind Stone</t>
  </si>
  <si>
    <t>Evertide Amulet</t>
  </si>
  <si>
    <t>Mercurial Eye</t>
  </si>
  <si>
    <t>CPU</t>
  </si>
  <si>
    <t>Backplane x8</t>
  </si>
  <si>
    <t>Frame motor</t>
  </si>
  <si>
    <t>Disk Drive</t>
  </si>
  <si>
    <t>8k RAM Module x8</t>
  </si>
  <si>
    <t>Pump Red Power</t>
  </si>
  <si>
    <t>Monitor</t>
  </si>
  <si>
    <t>IO Expander x8</t>
  </si>
  <si>
    <t>Accelerator</t>
  </si>
  <si>
    <t>Slowness (3:00)</t>
  </si>
  <si>
    <t>Strength (1:07)</t>
  </si>
  <si>
    <t>Weakness (1:07)</t>
  </si>
  <si>
    <t>Poison (0:16)</t>
  </si>
  <si>
    <t>Fire Resistance (2:15)</t>
  </si>
  <si>
    <t>Swiftness II</t>
  </si>
  <si>
    <t>Regeneration II</t>
  </si>
  <si>
    <t>Harming II</t>
  </si>
  <si>
    <t>Healing II</t>
  </si>
  <si>
    <t>Blood and Water
(All Refractory Capsule x64)</t>
  </si>
  <si>
    <t>Request Logistics Pipe</t>
  </si>
  <si>
    <t>Gold and Gate</t>
  </si>
  <si>
    <t>Quick sort Module</t>
  </si>
  <si>
    <t>Dimond and Gate</t>
  </si>
  <si>
    <t>Apiarist`s Pipe</t>
  </si>
  <si>
    <t>Dimond or Gate</t>
  </si>
  <si>
    <t>Liquidi Supplier Log. Pipe</t>
  </si>
  <si>
    <t>Gold or Gate</t>
  </si>
  <si>
    <t>Chassis Pipe Mk5</t>
  </si>
  <si>
    <t>Gated Logic
(All x64)</t>
  </si>
  <si>
    <t>Lava</t>
  </si>
  <si>
    <t>Biomass</t>
  </si>
  <si>
    <t>Seed Oil</t>
  </si>
  <si>
    <t>Water</t>
  </si>
  <si>
    <t>Oil</t>
  </si>
  <si>
    <t>Honey</t>
  </si>
  <si>
    <t>Biofuel</t>
  </si>
  <si>
    <t xml:space="preserve">Fuel </t>
  </si>
  <si>
    <t>Juice</t>
  </si>
  <si>
    <t>Abyss helmet</t>
  </si>
  <si>
    <t>Infernal Armor</t>
  </si>
  <si>
    <t>Gravity Greaves</t>
  </si>
  <si>
    <t>Hurricane Boots</t>
  </si>
  <si>
    <t>Red Katar</t>
  </si>
  <si>
    <t>Red Morningstar</t>
  </si>
  <si>
    <t xml:space="preserve">Pedestal </t>
  </si>
  <si>
    <t>Alchemycal Tome</t>
  </si>
  <si>
    <t>Red Matter Furnace</t>
  </si>
  <si>
    <t>LV Solar</t>
  </si>
  <si>
    <t>MV Solar</t>
  </si>
  <si>
    <t>Light sensor</t>
  </si>
  <si>
    <t>Solar panel (RP)</t>
  </si>
  <si>
    <t>HV Solar</t>
  </si>
  <si>
    <t>Apiary</t>
  </si>
  <si>
    <t>Solar Panel (IC)</t>
  </si>
  <si>
    <t>Solar Helmet</t>
  </si>
  <si>
    <t>Collector Mk3</t>
  </si>
  <si>
    <t>Nano Helmet</t>
  </si>
  <si>
    <t>Nano Body Armor</t>
  </si>
  <si>
    <t>Nano boots</t>
  </si>
  <si>
    <t>Nano Leggings</t>
  </si>
  <si>
    <t>Quantum Body Armor</t>
  </si>
  <si>
    <t>Quantum Helmet</t>
  </si>
  <si>
    <t>Quantum boots</t>
  </si>
  <si>
    <t>Quantum Leggings</t>
  </si>
  <si>
    <t>Near-Depleted Uranium cell</t>
  </si>
  <si>
    <t>Things that go BOOM</t>
  </si>
  <si>
    <t>Ton on of Energy</t>
  </si>
  <si>
    <t>Mushroom picker</t>
  </si>
  <si>
    <t>The Rings
Rw: Oil bucket</t>
  </si>
  <si>
    <t>Begins
- keep 5 plankto burn stone
- cobble to slabs and repeat
- go for gold in the nether
Rw: Redstone</t>
  </si>
  <si>
    <t>Burn Rubber
Rw: Tin</t>
  </si>
  <si>
    <t>Bronze Age
- Start Tropical bees &amp; Cultivated
Rw: Lapis</t>
  </si>
  <si>
    <t>Redstone Paradise
- Bone Meal farm 9x9
Rw: Rubber Sapling &amp; Copper</t>
  </si>
  <si>
    <t>Advanced Machines
- Blaze Rod farm
Rw: Clay</t>
  </si>
  <si>
    <t>Items of Power
Rw: Nikolite</t>
  </si>
  <si>
    <t>Small but might
Rw: Nether warth</t>
  </si>
  <si>
    <t>Blood, Sweat and Tears 
(All spalsh - All glowstone)
Rw: Soul Sand</t>
  </si>
  <si>
    <t>Solar Power
Rw: Uranium</t>
  </si>
  <si>
    <t>Power Ranger
Rw: Single Use Batteries</t>
  </si>
  <si>
    <t xml:space="preserve">Fires of Hell
</t>
  </si>
  <si>
    <t>TNT</t>
  </si>
  <si>
    <t>Combustion Engine</t>
  </si>
  <si>
    <t>Reactor Chamber</t>
  </si>
  <si>
    <t>Hyperkintic Lens</t>
  </si>
  <si>
    <t>Nuke</t>
  </si>
  <si>
    <t>Nuclear Reactor</t>
  </si>
  <si>
    <t>Nova Cataclysm</t>
  </si>
  <si>
    <t>Defective Turrent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</si>
</sst>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.000_);_(* \(#,##0.0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0" fillId="0" borderId="6" xfId="0" applyBorder="1"/>
    <xf numFmtId="14" fontId="0" fillId="0" borderId="7" xfId="0" applyNumberFormat="1" applyBorder="1"/>
    <xf numFmtId="1" fontId="0" fillId="0" borderId="0" xfId="1" applyNumberFormat="1" applyFont="1"/>
    <xf numFmtId="44" fontId="0" fillId="0" borderId="0" xfId="2" applyFont="1"/>
    <xf numFmtId="10" fontId="0" fillId="0" borderId="0" xfId="3" applyNumberFormat="1" applyFont="1"/>
    <xf numFmtId="14" fontId="0" fillId="0" borderId="0" xfId="0" applyNumberFormat="1" applyAlignment="1">
      <alignment horizontal="right"/>
    </xf>
    <xf numFmtId="0" fontId="0" fillId="2" borderId="0" xfId="0" applyFill="1"/>
    <xf numFmtId="14" fontId="0" fillId="2" borderId="0" xfId="0" applyNumberFormat="1" applyFill="1" applyAlignment="1">
      <alignment horizontal="right"/>
    </xf>
    <xf numFmtId="44" fontId="0" fillId="2" borderId="0" xfId="2" applyFont="1" applyFill="1"/>
    <xf numFmtId="10" fontId="0" fillId="2" borderId="0" xfId="3" applyNumberFormat="1" applyFont="1" applyFill="1"/>
    <xf numFmtId="10" fontId="0" fillId="0" borderId="0" xfId="3" applyNumberFormat="1" applyFont="1" applyFill="1"/>
    <xf numFmtId="0" fontId="2" fillId="0" borderId="0" xfId="0" applyFont="1"/>
    <xf numFmtId="0" fontId="2" fillId="3" borderId="0" xfId="0" applyFont="1" applyFill="1"/>
    <xf numFmtId="14" fontId="2" fillId="3" borderId="0" xfId="0" applyNumberFormat="1" applyFont="1" applyFill="1" applyAlignment="1">
      <alignment horizontal="right"/>
    </xf>
    <xf numFmtId="44" fontId="2" fillId="3" borderId="0" xfId="2" applyFont="1" applyFill="1"/>
    <xf numFmtId="10" fontId="2" fillId="3" borderId="0" xfId="3" applyNumberFormat="1" applyFont="1" applyFill="1"/>
    <xf numFmtId="1" fontId="2" fillId="3" borderId="0" xfId="1" applyNumberFormat="1" applyFont="1" applyFill="1"/>
    <xf numFmtId="0" fontId="0" fillId="3" borderId="0" xfId="0" applyFill="1"/>
    <xf numFmtId="14" fontId="0" fillId="3" borderId="0" xfId="0" applyNumberFormat="1" applyFill="1" applyAlignment="1">
      <alignment horizontal="left"/>
    </xf>
    <xf numFmtId="44" fontId="0" fillId="3" borderId="0" xfId="2" applyFont="1" applyFill="1"/>
    <xf numFmtId="1" fontId="0" fillId="2" borderId="0" xfId="1" applyNumberFormat="1" applyFont="1" applyFill="1"/>
    <xf numFmtId="44" fontId="0" fillId="0" borderId="0" xfId="2" applyFont="1" applyFill="1"/>
    <xf numFmtId="164" fontId="0" fillId="0" borderId="0" xfId="3" applyNumberFormat="1" applyFont="1" applyFill="1"/>
    <xf numFmtId="1" fontId="0" fillId="0" borderId="0" xfId="1" applyNumberFormat="1" applyFont="1" applyFill="1"/>
    <xf numFmtId="8" fontId="0" fillId="0" borderId="0" xfId="0" applyNumberFormat="1"/>
    <xf numFmtId="10" fontId="0" fillId="0" borderId="0" xfId="0" applyNumberFormat="1"/>
    <xf numFmtId="0" fontId="0" fillId="0" borderId="0" xfId="0" applyAlignment="1">
      <alignment horizontal="right"/>
    </xf>
    <xf numFmtId="9" fontId="0" fillId="0" borderId="0" xfId="3" applyFont="1"/>
    <xf numFmtId="43" fontId="0" fillId="0" borderId="0" xfId="1" applyFont="1"/>
    <xf numFmtId="165" fontId="0" fillId="0" borderId="0" xfId="1" applyNumberFormat="1" applyFont="1"/>
    <xf numFmtId="164" fontId="0" fillId="0" borderId="0" xfId="3" applyNumberFormat="1" applyFont="1"/>
    <xf numFmtId="4" fontId="0" fillId="0" borderId="0" xfId="0" applyNumberFormat="1"/>
    <xf numFmtId="164" fontId="0" fillId="0" borderId="0" xfId="0" applyNumberFormat="1"/>
    <xf numFmtId="0" fontId="0" fillId="0" borderId="0" xfId="0" quotePrefix="1"/>
    <xf numFmtId="0" fontId="0" fillId="4" borderId="3" xfId="0" applyFill="1" applyBorder="1"/>
    <xf numFmtId="0" fontId="0" fillId="0" borderId="3" xfId="0" applyBorder="1"/>
    <xf numFmtId="0" fontId="0" fillId="5" borderId="3" xfId="0" applyFill="1" applyBorder="1"/>
    <xf numFmtId="0" fontId="0" fillId="0" borderId="4" xfId="0" applyBorder="1"/>
    <xf numFmtId="0" fontId="0" fillId="0" borderId="5" xfId="0" applyBorder="1"/>
    <xf numFmtId="0" fontId="0" fillId="4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3">
    <dxf>
      <font>
        <color theme="0" tint="-0.34998626667073579"/>
      </font>
      <fill>
        <patternFill>
          <bgColor theme="0" tint="-0.34998626667073579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3300"/>
      </font>
      <fill>
        <patternFill patternType="solid">
          <bgColor rgb="FFFF33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FF3300"/>
      <color rgb="FFCC66FF"/>
      <color rgb="FFCCFF99"/>
      <color rgb="FFFFFF99"/>
      <color rgb="FFFFCC66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2B976-B67D-463D-AD93-0B22112F23E5}">
  <dimension ref="B5:BE26"/>
  <sheetViews>
    <sheetView showGridLines="0" tabSelected="1" workbookViewId="0">
      <selection sqref="A1:XFD1048576"/>
    </sheetView>
  </sheetViews>
  <sheetFormatPr defaultRowHeight="15" x14ac:dyDescent="0.25"/>
  <cols>
    <col min="3" max="3" width="9.7109375" bestFit="1" customWidth="1"/>
    <col min="5" max="57" width="3.85546875" customWidth="1"/>
  </cols>
  <sheetData>
    <row r="5" spans="2:57" x14ac:dyDescent="0.25">
      <c r="E5" s="2" cm="1">
        <f t="array" aca="1" ref="E5" ca="1">MONTH(INDEX($E$7:$BE$15,MATCH(YEAR(TODAY()),$D$7:$D$15,0),COLUMN()-4))</f>
        <v>1</v>
      </c>
      <c r="F5" s="2" cm="1">
        <f t="array" aca="1" ref="F5" ca="1">MONTH(INDEX($E$7:$BE$15,MATCH(YEAR(TODAY()),$D$7:$D$15,0),COLUMN()-4))</f>
        <v>1</v>
      </c>
      <c r="G5" s="2" cm="1">
        <f t="array" aca="1" ref="G5" ca="1">MONTH(INDEX($E$7:$BE$15,MATCH(YEAR(TODAY()),$D$7:$D$15,0),COLUMN()-4))</f>
        <v>1</v>
      </c>
      <c r="H5" s="2" cm="1">
        <f t="array" aca="1" ref="H5" ca="1">MONTH(INDEX($E$7:$BE$15,MATCH(YEAR(TODAY()),$D$7:$D$15,0),COLUMN()-4))</f>
        <v>1</v>
      </c>
      <c r="I5" s="2" cm="1">
        <f t="array" aca="1" ref="I5" ca="1">MONTH(INDEX($E$7:$BE$15,MATCH(YEAR(TODAY()),$D$7:$D$15,0),COLUMN()-4))</f>
        <v>1</v>
      </c>
      <c r="J5" s="2" cm="1">
        <f t="array" aca="1" ref="J5" ca="1">MONTH(INDEX($E$7:$BE$15,MATCH(YEAR(TODAY()),$D$7:$D$15,0),COLUMN()-4))</f>
        <v>2</v>
      </c>
      <c r="K5" s="2" cm="1">
        <f t="array" aca="1" ref="K5" ca="1">MONTH(INDEX($E$7:$BE$15,MATCH(YEAR(TODAY()),$D$7:$D$15,0),COLUMN()-4))</f>
        <v>2</v>
      </c>
      <c r="L5" s="2" cm="1">
        <f t="array" aca="1" ref="L5" ca="1">MONTH(INDEX($E$7:$BE$15,MATCH(YEAR(TODAY()),$D$7:$D$15,0),COLUMN()-4))</f>
        <v>2</v>
      </c>
      <c r="M5" s="2" cm="1">
        <f t="array" aca="1" ref="M5" ca="1">MONTH(INDEX($E$7:$BE$15,MATCH(YEAR(TODAY()),$D$7:$D$15,0),COLUMN()-4))</f>
        <v>2</v>
      </c>
      <c r="N5" s="2" cm="1">
        <f t="array" aca="1" ref="N5" ca="1">MONTH(INDEX($E$7:$BE$15,MATCH(YEAR(TODAY()),$D$7:$D$15,0),COLUMN()-4))</f>
        <v>3</v>
      </c>
      <c r="O5" s="2" cm="1">
        <f t="array" aca="1" ref="O5" ca="1">MONTH(INDEX($E$7:$BE$15,MATCH(YEAR(TODAY()),$D$7:$D$15,0),COLUMN()-4))</f>
        <v>3</v>
      </c>
      <c r="P5" s="2" cm="1">
        <f t="array" aca="1" ref="P5" ca="1">MONTH(INDEX($E$7:$BE$15,MATCH(YEAR(TODAY()),$D$7:$D$15,0),COLUMN()-4))</f>
        <v>3</v>
      </c>
      <c r="Q5" s="5" cm="1">
        <f t="array" aca="1" ref="Q5" ca="1">MONTH(INDEX($E$7:$BE$15,MATCH(YEAR(TODAY()),$D$7:$D$15,0),COLUMN()-4))</f>
        <v>3</v>
      </c>
      <c r="R5" s="2" cm="1">
        <f t="array" aca="1" ref="R5" ca="1">MONTH(INDEX($E$7:$BE$15,MATCH(YEAR(TODAY()),$D$7:$D$15,0),COLUMN()-4))</f>
        <v>4</v>
      </c>
      <c r="S5" s="2" cm="1">
        <f t="array" aca="1" ref="S5" ca="1">MONTH(INDEX($E$7:$BE$15,MATCH(YEAR(TODAY()),$D$7:$D$15,0),COLUMN()-4))</f>
        <v>4</v>
      </c>
      <c r="T5" s="2" cm="1">
        <f t="array" aca="1" ref="T5" ca="1">MONTH(INDEX($E$7:$BE$15,MATCH(YEAR(TODAY()),$D$7:$D$15,0),COLUMN()-4))</f>
        <v>4</v>
      </c>
      <c r="U5" s="2" cm="1">
        <f t="array" aca="1" ref="U5" ca="1">MONTH(INDEX($E$7:$BE$15,MATCH(YEAR(TODAY()),$D$7:$D$15,0),COLUMN()-4))</f>
        <v>4</v>
      </c>
      <c r="V5" s="2" cm="1">
        <f t="array" aca="1" ref="V5" ca="1">MONTH(INDEX($E$7:$BE$15,MATCH(YEAR(TODAY()),$D$7:$D$15,0),COLUMN()-4))</f>
        <v>4</v>
      </c>
      <c r="W5" s="2" cm="1">
        <f t="array" aca="1" ref="W5" ca="1">MONTH(INDEX($E$7:$BE$15,MATCH(YEAR(TODAY()),$D$7:$D$15,0),COLUMN()-4))</f>
        <v>5</v>
      </c>
      <c r="X5" s="2" cm="1">
        <f t="array" aca="1" ref="X5" ca="1">MONTH(INDEX($E$7:$BE$15,MATCH(YEAR(TODAY()),$D$7:$D$15,0),COLUMN()-4))</f>
        <v>5</v>
      </c>
      <c r="Y5" s="2" cm="1">
        <f t="array" aca="1" ref="Y5" ca="1">MONTH(INDEX($E$7:$BE$15,MATCH(YEAR(TODAY()),$D$7:$D$15,0),COLUMN()-4))</f>
        <v>5</v>
      </c>
      <c r="Z5" s="2" cm="1">
        <f t="array" aca="1" ref="Z5" ca="1">MONTH(INDEX($E$7:$BE$15,MATCH(YEAR(TODAY()),$D$7:$D$15,0),COLUMN()-4))</f>
        <v>5</v>
      </c>
      <c r="AA5" s="2" cm="1">
        <f t="array" aca="1" ref="AA5" ca="1">MONTH(INDEX($E$7:$BE$15,MATCH(YEAR(TODAY()),$D$7:$D$15,0),COLUMN()-4))</f>
        <v>6</v>
      </c>
      <c r="AB5" s="2" cm="1">
        <f t="array" aca="1" ref="AB5" ca="1">MONTH(INDEX($E$7:$BE$15,MATCH(YEAR(TODAY()),$D$7:$D$15,0),COLUMN()-4))</f>
        <v>6</v>
      </c>
      <c r="AC5" s="2" cm="1">
        <f t="array" aca="1" ref="AC5" ca="1">MONTH(INDEX($E$7:$BE$15,MATCH(YEAR(TODAY()),$D$7:$D$15,0),COLUMN()-4))</f>
        <v>6</v>
      </c>
      <c r="AD5" s="2" cm="1">
        <f t="array" aca="1" ref="AD5" ca="1">MONTH(INDEX($E$7:$BE$15,MATCH(YEAR(TODAY()),$D$7:$D$15,0),COLUMN()-4))</f>
        <v>6</v>
      </c>
      <c r="AE5" s="2" cm="1">
        <f t="array" aca="1" ref="AE5" ca="1">MONTH(INDEX($E$7:$BE$15,MATCH(YEAR(TODAY()),$D$7:$D$15,0),COLUMN()-4))</f>
        <v>7</v>
      </c>
      <c r="AF5" s="2" cm="1">
        <f t="array" aca="1" ref="AF5" ca="1">MONTH(INDEX($E$7:$BE$15,MATCH(YEAR(TODAY()),$D$7:$D$15,0),COLUMN()-4))</f>
        <v>7</v>
      </c>
      <c r="AG5" s="2" cm="1">
        <f t="array" aca="1" ref="AG5" ca="1">MONTH(INDEX($E$7:$BE$15,MATCH(YEAR(TODAY()),$D$7:$D$15,0),COLUMN()-4))</f>
        <v>7</v>
      </c>
      <c r="AH5" s="2" cm="1">
        <f t="array" aca="1" ref="AH5" ca="1">MONTH(INDEX($E$7:$BE$15,MATCH(YEAR(TODAY()),$D$7:$D$15,0),COLUMN()-4))</f>
        <v>7</v>
      </c>
      <c r="AI5" s="2" cm="1">
        <f t="array" aca="1" ref="AI5" ca="1">MONTH(INDEX($E$7:$BE$15,MATCH(YEAR(TODAY()),$D$7:$D$15,0),COLUMN()-4))</f>
        <v>7</v>
      </c>
      <c r="AJ5" s="2" cm="1">
        <f t="array" aca="1" ref="AJ5" ca="1">MONTH(INDEX($E$7:$BE$15,MATCH(YEAR(TODAY()),$D$7:$D$15,0),COLUMN()-4))</f>
        <v>8</v>
      </c>
      <c r="AK5" s="2" cm="1">
        <f t="array" aca="1" ref="AK5" ca="1">MONTH(INDEX($E$7:$BE$15,MATCH(YEAR(TODAY()),$D$7:$D$15,0),COLUMN()-4))</f>
        <v>8</v>
      </c>
      <c r="AL5" s="2" cm="1">
        <f t="array" aca="1" ref="AL5" ca="1">MONTH(INDEX($E$7:$BE$15,MATCH(YEAR(TODAY()),$D$7:$D$15,0),COLUMN()-4))</f>
        <v>8</v>
      </c>
      <c r="AM5" s="2" cm="1">
        <f t="array" aca="1" ref="AM5" ca="1">MONTH(INDEX($E$7:$BE$15,MATCH(YEAR(TODAY()),$D$7:$D$15,0),COLUMN()-4))</f>
        <v>8</v>
      </c>
      <c r="AN5" s="2" cm="1">
        <f t="array" aca="1" ref="AN5" ca="1">MONTH(INDEX($E$7:$BE$15,MATCH(YEAR(TODAY()),$D$7:$D$15,0),COLUMN()-4))</f>
        <v>9</v>
      </c>
      <c r="AO5" s="2" cm="1">
        <f t="array" aca="1" ref="AO5" ca="1">MONTH(INDEX($E$7:$BE$15,MATCH(YEAR(TODAY()),$D$7:$D$15,0),COLUMN()-4))</f>
        <v>9</v>
      </c>
      <c r="AP5" s="2" cm="1">
        <f t="array" aca="1" ref="AP5" ca="1">MONTH(INDEX($E$7:$BE$15,MATCH(YEAR(TODAY()),$D$7:$D$15,0),COLUMN()-4))</f>
        <v>9</v>
      </c>
      <c r="AQ5" s="2" cm="1">
        <f t="array" aca="1" ref="AQ5" ca="1">MONTH(INDEX($E$7:$BE$15,MATCH(YEAR(TODAY()),$D$7:$D$15,0),COLUMN()-4))</f>
        <v>9</v>
      </c>
      <c r="AR5" s="2" cm="1">
        <f t="array" aca="1" ref="AR5" ca="1">MONTH(INDEX($E$7:$BE$15,MATCH(YEAR(TODAY()),$D$7:$D$15,0),COLUMN()-4))</f>
        <v>10</v>
      </c>
      <c r="AS5" s="2" cm="1">
        <f t="array" aca="1" ref="AS5" ca="1">MONTH(INDEX($E$7:$BE$15,MATCH(YEAR(TODAY()),$D$7:$D$15,0),COLUMN()-4))</f>
        <v>10</v>
      </c>
      <c r="AT5" s="2" cm="1">
        <f t="array" aca="1" ref="AT5" ca="1">MONTH(INDEX($E$7:$BE$15,MATCH(YEAR(TODAY()),$D$7:$D$15,0),COLUMN()-4))</f>
        <v>10</v>
      </c>
      <c r="AU5" s="2" cm="1">
        <f t="array" aca="1" ref="AU5" ca="1">MONTH(INDEX($E$7:$BE$15,MATCH(YEAR(TODAY()),$D$7:$D$15,0),COLUMN()-4))</f>
        <v>10</v>
      </c>
      <c r="AV5" s="2" cm="1">
        <f t="array" aca="1" ref="AV5" ca="1">MONTH(INDEX($E$7:$BE$15,MATCH(YEAR(TODAY()),$D$7:$D$15,0),COLUMN()-4))</f>
        <v>10</v>
      </c>
      <c r="AW5" s="2" cm="1">
        <f t="array" aca="1" ref="AW5" ca="1">MONTH(INDEX($E$7:$BE$15,MATCH(YEAR(TODAY()),$D$7:$D$15,0),COLUMN()-4))</f>
        <v>11</v>
      </c>
      <c r="AX5" s="2" cm="1">
        <f t="array" aca="1" ref="AX5" ca="1">MONTH(INDEX($E$7:$BE$15,MATCH(YEAR(TODAY()),$D$7:$D$15,0),COLUMN()-4))</f>
        <v>11</v>
      </c>
      <c r="AY5" s="2" cm="1">
        <f t="array" aca="1" ref="AY5" ca="1">MONTH(INDEX($E$7:$BE$15,MATCH(YEAR(TODAY()),$D$7:$D$15,0),COLUMN()-4))</f>
        <v>11</v>
      </c>
      <c r="AZ5" s="2" cm="1">
        <f t="array" aca="1" ref="AZ5" ca="1">MONTH(INDEX($E$7:$BE$15,MATCH(YEAR(TODAY()),$D$7:$D$15,0),COLUMN()-4))</f>
        <v>11</v>
      </c>
      <c r="BA5" s="2" cm="1">
        <f t="array" aca="1" ref="BA5" ca="1">MONTH(INDEX($E$7:$BE$15,MATCH(YEAR(TODAY()),$D$7:$D$15,0),COLUMN()-4))</f>
        <v>12</v>
      </c>
      <c r="BB5" s="2" cm="1">
        <f t="array" aca="1" ref="BB5" ca="1">MONTH(INDEX($E$7:$BE$15,MATCH(YEAR(TODAY()),$D$7:$D$15,0),COLUMN()-4))</f>
        <v>12</v>
      </c>
      <c r="BC5" s="2" cm="1">
        <f t="array" aca="1" ref="BC5" ca="1">MONTH(INDEX($E$7:$BE$15,MATCH(YEAR(TODAY()),$D$7:$D$15,0),COLUMN()-4))</f>
        <v>12</v>
      </c>
      <c r="BD5" s="2" cm="1">
        <f t="array" aca="1" ref="BD5" ca="1">MONTH(INDEX($E$7:$BE$15,MATCH(YEAR(TODAY()),$D$7:$D$15,0),COLUMN()-4))</f>
        <v>12</v>
      </c>
      <c r="BE5" s="2" cm="1">
        <f t="array" aca="1" ref="BE5" ca="1">MONTH(INDEX($E$7:$BE$15,MATCH(YEAR(TODAY()),$D$7:$D$15,0),COLUMN()-4))</f>
        <v>12</v>
      </c>
    </row>
    <row r="6" spans="2:57" x14ac:dyDescent="0.25">
      <c r="E6" s="2">
        <f>WEEKNUM(E9)</f>
        <v>1</v>
      </c>
      <c r="F6" s="2">
        <f t="shared" ref="F6:X6" si="0">WEEKNUM(F9)</f>
        <v>2</v>
      </c>
      <c r="G6" s="2">
        <f t="shared" si="0"/>
        <v>3</v>
      </c>
      <c r="H6" s="2">
        <f t="shared" si="0"/>
        <v>4</v>
      </c>
      <c r="I6" s="2">
        <f t="shared" si="0"/>
        <v>5</v>
      </c>
      <c r="J6" s="2">
        <f t="shared" si="0"/>
        <v>6</v>
      </c>
      <c r="K6" s="2">
        <f t="shared" si="0"/>
        <v>7</v>
      </c>
      <c r="L6" s="2">
        <f t="shared" si="0"/>
        <v>8</v>
      </c>
      <c r="M6" s="2">
        <f t="shared" si="0"/>
        <v>9</v>
      </c>
      <c r="N6" s="2">
        <f t="shared" si="0"/>
        <v>10</v>
      </c>
      <c r="O6" s="2">
        <f t="shared" si="0"/>
        <v>11</v>
      </c>
      <c r="P6" s="42">
        <f t="shared" si="0"/>
        <v>12</v>
      </c>
      <c r="Q6" s="40">
        <f t="shared" si="0"/>
        <v>13</v>
      </c>
      <c r="R6" s="43">
        <f t="shared" si="0"/>
        <v>14</v>
      </c>
      <c r="S6" s="2">
        <f t="shared" si="0"/>
        <v>15</v>
      </c>
      <c r="T6" s="2">
        <f t="shared" si="0"/>
        <v>16</v>
      </c>
      <c r="U6" s="2">
        <f t="shared" si="0"/>
        <v>17</v>
      </c>
      <c r="V6" s="2">
        <f t="shared" si="0"/>
        <v>18</v>
      </c>
      <c r="W6" s="2">
        <f t="shared" si="0"/>
        <v>19</v>
      </c>
      <c r="X6" s="2">
        <f t="shared" si="0"/>
        <v>20</v>
      </c>
      <c r="Y6" s="2">
        <f t="shared" ref="Y6:BE6" si="1">WEEKNUM(Y9)</f>
        <v>21</v>
      </c>
      <c r="Z6" s="2">
        <f t="shared" si="1"/>
        <v>22</v>
      </c>
      <c r="AA6" s="2">
        <f t="shared" si="1"/>
        <v>23</v>
      </c>
      <c r="AB6" s="2">
        <f t="shared" si="1"/>
        <v>24</v>
      </c>
      <c r="AC6" s="2">
        <f t="shared" si="1"/>
        <v>25</v>
      </c>
      <c r="AD6" s="2">
        <f t="shared" si="1"/>
        <v>26</v>
      </c>
      <c r="AE6" s="2">
        <f t="shared" si="1"/>
        <v>27</v>
      </c>
      <c r="AF6" s="2">
        <f t="shared" si="1"/>
        <v>28</v>
      </c>
      <c r="AG6" s="2">
        <f t="shared" si="1"/>
        <v>29</v>
      </c>
      <c r="AH6" s="2">
        <f t="shared" si="1"/>
        <v>30</v>
      </c>
      <c r="AI6" s="2">
        <f t="shared" si="1"/>
        <v>31</v>
      </c>
      <c r="AJ6" s="2">
        <f t="shared" si="1"/>
        <v>32</v>
      </c>
      <c r="AK6" s="2">
        <f t="shared" si="1"/>
        <v>33</v>
      </c>
      <c r="AL6" s="2">
        <f t="shared" si="1"/>
        <v>34</v>
      </c>
      <c r="AM6" s="2">
        <f t="shared" si="1"/>
        <v>35</v>
      </c>
      <c r="AN6" s="2">
        <f t="shared" si="1"/>
        <v>36</v>
      </c>
      <c r="AO6" s="2">
        <f t="shared" si="1"/>
        <v>37</v>
      </c>
      <c r="AP6" s="2">
        <f t="shared" si="1"/>
        <v>38</v>
      </c>
      <c r="AQ6" s="2">
        <f t="shared" si="1"/>
        <v>39</v>
      </c>
      <c r="AR6" s="2">
        <f t="shared" si="1"/>
        <v>40</v>
      </c>
      <c r="AS6" s="2">
        <f t="shared" si="1"/>
        <v>41</v>
      </c>
      <c r="AT6" s="2">
        <f t="shared" si="1"/>
        <v>42</v>
      </c>
      <c r="AU6" s="2">
        <f t="shared" si="1"/>
        <v>43</v>
      </c>
      <c r="AV6" s="2">
        <f t="shared" si="1"/>
        <v>44</v>
      </c>
      <c r="AW6" s="2">
        <f t="shared" si="1"/>
        <v>45</v>
      </c>
      <c r="AX6" s="2">
        <f t="shared" si="1"/>
        <v>46</v>
      </c>
      <c r="AY6" s="2">
        <f t="shared" si="1"/>
        <v>47</v>
      </c>
      <c r="AZ6" s="2">
        <f t="shared" si="1"/>
        <v>48</v>
      </c>
      <c r="BA6" s="2">
        <f t="shared" si="1"/>
        <v>49</v>
      </c>
      <c r="BB6" s="2">
        <f t="shared" si="1"/>
        <v>50</v>
      </c>
      <c r="BC6" s="2">
        <f t="shared" si="1"/>
        <v>51</v>
      </c>
      <c r="BD6" s="2">
        <f t="shared" si="1"/>
        <v>52</v>
      </c>
      <c r="BE6" s="2">
        <f t="shared" si="1"/>
        <v>53</v>
      </c>
    </row>
    <row r="7" spans="2:57" x14ac:dyDescent="0.25">
      <c r="D7">
        <v>2022</v>
      </c>
      <c r="E7" s="3">
        <v>44562</v>
      </c>
      <c r="F7" s="3">
        <v>44569</v>
      </c>
      <c r="G7" s="3">
        <v>44576</v>
      </c>
      <c r="H7" s="3">
        <v>44583</v>
      </c>
      <c r="I7" s="3">
        <v>44590</v>
      </c>
      <c r="J7" s="3">
        <v>44597</v>
      </c>
      <c r="K7" s="3">
        <v>44604</v>
      </c>
      <c r="L7" s="3">
        <v>44611</v>
      </c>
      <c r="M7" s="3">
        <v>44618</v>
      </c>
      <c r="N7" s="3">
        <v>44625</v>
      </c>
      <c r="O7" s="3">
        <v>44632</v>
      </c>
      <c r="P7" s="3">
        <v>44639</v>
      </c>
      <c r="Q7" s="6">
        <v>44646</v>
      </c>
      <c r="R7" s="3">
        <v>44653</v>
      </c>
      <c r="S7" s="3">
        <v>44660</v>
      </c>
      <c r="T7" s="3">
        <v>44667</v>
      </c>
      <c r="U7" s="3">
        <v>44674</v>
      </c>
      <c r="V7" s="3">
        <v>44681</v>
      </c>
      <c r="W7" s="3">
        <v>44688</v>
      </c>
      <c r="X7" s="3">
        <v>44695</v>
      </c>
      <c r="Y7" s="3">
        <v>44702</v>
      </c>
      <c r="Z7" s="3">
        <v>44709</v>
      </c>
      <c r="AA7" s="3">
        <v>44716</v>
      </c>
      <c r="AB7" s="3">
        <v>44723</v>
      </c>
      <c r="AC7" s="3">
        <v>44730</v>
      </c>
      <c r="AD7" s="3">
        <v>44737</v>
      </c>
      <c r="AE7" s="3">
        <v>44744</v>
      </c>
      <c r="AF7" s="3">
        <v>44751</v>
      </c>
      <c r="AG7" s="3">
        <v>44758</v>
      </c>
      <c r="AH7" s="3">
        <v>44765</v>
      </c>
      <c r="AI7" s="3">
        <v>44772</v>
      </c>
      <c r="AJ7" s="3">
        <v>44779</v>
      </c>
      <c r="AK7" s="3">
        <v>44786</v>
      </c>
      <c r="AL7" s="3">
        <v>44793</v>
      </c>
      <c r="AM7" s="3">
        <v>44800</v>
      </c>
      <c r="AN7" s="3">
        <v>44807</v>
      </c>
      <c r="AO7" s="3">
        <v>44814</v>
      </c>
      <c r="AP7" s="3">
        <v>44821</v>
      </c>
      <c r="AQ7" s="3">
        <v>44828</v>
      </c>
      <c r="AR7" s="3">
        <v>44835</v>
      </c>
      <c r="AS7" s="3">
        <v>44842</v>
      </c>
      <c r="AT7" s="3">
        <v>44849</v>
      </c>
      <c r="AU7" s="3">
        <v>44856</v>
      </c>
      <c r="AV7" s="3">
        <v>44863</v>
      </c>
      <c r="AW7" s="3">
        <v>44870</v>
      </c>
      <c r="AX7" s="3">
        <v>44877</v>
      </c>
      <c r="AY7" s="3">
        <v>44884</v>
      </c>
      <c r="AZ7" s="3">
        <v>44891</v>
      </c>
      <c r="BA7" s="3">
        <v>44898</v>
      </c>
      <c r="BB7" s="3">
        <v>44905</v>
      </c>
      <c r="BC7" s="3">
        <v>44912</v>
      </c>
      <c r="BD7" s="3">
        <v>44919</v>
      </c>
      <c r="BE7" s="3">
        <v>44926</v>
      </c>
    </row>
    <row r="8" spans="2:57" x14ac:dyDescent="0.25">
      <c r="D8">
        <v>2023</v>
      </c>
      <c r="E8" s="3">
        <v>44927</v>
      </c>
      <c r="F8" s="3">
        <v>44934</v>
      </c>
      <c r="G8" s="3">
        <v>44941</v>
      </c>
      <c r="H8" s="3">
        <v>44948</v>
      </c>
      <c r="I8" s="3">
        <v>44955</v>
      </c>
      <c r="J8" s="3">
        <v>44962</v>
      </c>
      <c r="K8" s="3">
        <v>44969</v>
      </c>
      <c r="L8" s="3">
        <v>44976</v>
      </c>
      <c r="M8" s="3">
        <v>44983</v>
      </c>
      <c r="N8" s="3">
        <v>44990</v>
      </c>
      <c r="O8" s="3">
        <v>44997</v>
      </c>
      <c r="P8" s="3">
        <v>45004</v>
      </c>
      <c r="Q8" s="3">
        <v>45011</v>
      </c>
      <c r="R8" s="3">
        <v>45018</v>
      </c>
      <c r="S8" s="3">
        <v>45025</v>
      </c>
      <c r="T8" s="3">
        <v>45032</v>
      </c>
      <c r="U8" s="3">
        <v>45039</v>
      </c>
      <c r="V8" s="3">
        <v>45046</v>
      </c>
      <c r="W8" s="3">
        <v>45053</v>
      </c>
      <c r="X8" s="3">
        <v>45060</v>
      </c>
      <c r="Y8" s="3">
        <v>45067</v>
      </c>
      <c r="Z8" s="3">
        <v>45074</v>
      </c>
      <c r="AA8" s="3">
        <v>45081</v>
      </c>
      <c r="AB8" s="3">
        <v>45088</v>
      </c>
      <c r="AC8" s="3">
        <v>45095</v>
      </c>
      <c r="AD8" s="3">
        <v>45102</v>
      </c>
      <c r="AE8" s="3">
        <v>45109</v>
      </c>
      <c r="AF8" s="3">
        <v>45116</v>
      </c>
      <c r="AG8" s="3">
        <v>45123</v>
      </c>
      <c r="AH8" s="3">
        <v>45130</v>
      </c>
      <c r="AI8" s="3">
        <v>45137</v>
      </c>
      <c r="AJ8" s="3">
        <v>45144</v>
      </c>
      <c r="AK8" s="3">
        <v>45151</v>
      </c>
      <c r="AL8" s="3">
        <v>45158</v>
      </c>
      <c r="AM8" s="3">
        <v>45165</v>
      </c>
      <c r="AN8" s="3">
        <v>45172</v>
      </c>
      <c r="AO8" s="3">
        <v>45179</v>
      </c>
      <c r="AP8" s="3">
        <v>45186</v>
      </c>
      <c r="AQ8" s="3">
        <v>45193</v>
      </c>
      <c r="AR8" s="3">
        <v>45200</v>
      </c>
      <c r="AS8" s="3">
        <v>45207</v>
      </c>
      <c r="AT8" s="3">
        <v>45214</v>
      </c>
      <c r="AU8" s="3">
        <v>45221</v>
      </c>
      <c r="AV8" s="3">
        <v>45228</v>
      </c>
      <c r="AW8" s="3">
        <v>45235</v>
      </c>
      <c r="AX8" s="3">
        <v>45242</v>
      </c>
      <c r="AY8" s="3">
        <v>45249</v>
      </c>
      <c r="AZ8" s="3">
        <v>45256</v>
      </c>
      <c r="BA8" s="3">
        <v>45263</v>
      </c>
      <c r="BB8" s="3">
        <v>45270</v>
      </c>
      <c r="BC8" s="3">
        <v>45277</v>
      </c>
      <c r="BD8" s="3">
        <v>45284</v>
      </c>
      <c r="BE8" s="3">
        <v>45291</v>
      </c>
    </row>
    <row r="9" spans="2:57" x14ac:dyDescent="0.25">
      <c r="D9">
        <v>2024</v>
      </c>
      <c r="E9" s="3">
        <v>45292</v>
      </c>
      <c r="F9" s="3">
        <v>45299</v>
      </c>
      <c r="G9" s="3">
        <v>45306</v>
      </c>
      <c r="H9" s="3">
        <v>45313</v>
      </c>
      <c r="I9" s="3">
        <v>45320</v>
      </c>
      <c r="J9" s="3">
        <v>45327</v>
      </c>
      <c r="K9" s="3">
        <v>45334</v>
      </c>
      <c r="L9" s="3">
        <v>45341</v>
      </c>
      <c r="M9" s="3">
        <v>45348</v>
      </c>
      <c r="N9" s="3">
        <v>45355</v>
      </c>
      <c r="O9" s="3">
        <v>45362</v>
      </c>
      <c r="P9" s="3">
        <v>45369</v>
      </c>
      <c r="Q9" s="3">
        <v>45376</v>
      </c>
      <c r="R9" s="3">
        <v>45383</v>
      </c>
      <c r="S9" s="3">
        <v>45390</v>
      </c>
      <c r="T9" s="3">
        <v>45397</v>
      </c>
      <c r="U9" s="3">
        <v>45404</v>
      </c>
      <c r="V9" s="3">
        <v>45411</v>
      </c>
      <c r="W9" s="3">
        <v>45418</v>
      </c>
      <c r="X9" s="3">
        <v>45425</v>
      </c>
      <c r="Y9" s="3">
        <v>45432</v>
      </c>
      <c r="Z9" s="3">
        <v>45439</v>
      </c>
      <c r="AA9" s="3">
        <v>45446</v>
      </c>
      <c r="AB9" s="3">
        <v>45453</v>
      </c>
      <c r="AC9" s="3">
        <v>45460</v>
      </c>
      <c r="AD9" s="3">
        <v>45467</v>
      </c>
      <c r="AE9" s="3">
        <v>45474</v>
      </c>
      <c r="AF9" s="3">
        <v>45481</v>
      </c>
      <c r="AG9" s="3">
        <v>45488</v>
      </c>
      <c r="AH9" s="3">
        <v>45495</v>
      </c>
      <c r="AI9" s="3">
        <v>45502</v>
      </c>
      <c r="AJ9" s="3">
        <v>45509</v>
      </c>
      <c r="AK9" s="3">
        <v>45516</v>
      </c>
      <c r="AL9" s="3">
        <v>45523</v>
      </c>
      <c r="AM9" s="3">
        <v>45530</v>
      </c>
      <c r="AN9" s="3">
        <v>45537</v>
      </c>
      <c r="AO9" s="3">
        <v>45544</v>
      </c>
      <c r="AP9" s="3">
        <v>45551</v>
      </c>
      <c r="AQ9" s="3">
        <v>45558</v>
      </c>
      <c r="AR9" s="3">
        <v>45565</v>
      </c>
      <c r="AS9" s="3">
        <v>45572</v>
      </c>
      <c r="AT9" s="3">
        <v>45579</v>
      </c>
      <c r="AU9" s="3">
        <v>45586</v>
      </c>
      <c r="AV9" s="3">
        <v>45593</v>
      </c>
      <c r="AW9" s="3">
        <v>45600</v>
      </c>
      <c r="AX9" s="3">
        <v>45607</v>
      </c>
      <c r="AY9" s="3">
        <v>45614</v>
      </c>
      <c r="AZ9" s="3">
        <v>45621</v>
      </c>
      <c r="BA9" s="3">
        <v>45628</v>
      </c>
      <c r="BB9" s="3">
        <v>45635</v>
      </c>
      <c r="BC9" s="3">
        <v>45642</v>
      </c>
      <c r="BD9" s="3">
        <v>45649</v>
      </c>
      <c r="BE9" s="3">
        <v>45656</v>
      </c>
    </row>
    <row r="10" spans="2:57" x14ac:dyDescent="0.25">
      <c r="D10">
        <v>2025</v>
      </c>
      <c r="E10" s="3">
        <v>45658</v>
      </c>
      <c r="F10" s="3">
        <v>45665</v>
      </c>
      <c r="G10" s="3">
        <v>45672</v>
      </c>
      <c r="H10" s="3">
        <v>45679</v>
      </c>
      <c r="I10" s="3">
        <v>45686</v>
      </c>
      <c r="J10" s="3">
        <v>45693</v>
      </c>
      <c r="K10" s="3">
        <v>45700</v>
      </c>
      <c r="L10" s="3">
        <v>45707</v>
      </c>
      <c r="M10" s="3">
        <v>45714</v>
      </c>
      <c r="N10" s="3">
        <v>45721</v>
      </c>
      <c r="O10" s="3">
        <v>45728</v>
      </c>
      <c r="P10" s="3">
        <v>45735</v>
      </c>
      <c r="Q10" s="3">
        <v>45742</v>
      </c>
      <c r="R10" s="3">
        <v>45749</v>
      </c>
      <c r="S10" s="3">
        <v>45756</v>
      </c>
      <c r="T10" s="3">
        <v>45763</v>
      </c>
      <c r="U10" s="3">
        <v>45770</v>
      </c>
      <c r="V10" s="3">
        <v>45777</v>
      </c>
      <c r="W10" s="3">
        <v>45784</v>
      </c>
      <c r="X10" s="3">
        <v>45791</v>
      </c>
      <c r="Y10" s="3">
        <v>45798</v>
      </c>
      <c r="Z10" s="3">
        <v>45805</v>
      </c>
      <c r="AA10" s="3">
        <v>45812</v>
      </c>
      <c r="AB10" s="3">
        <v>45819</v>
      </c>
      <c r="AC10" s="3">
        <v>45826</v>
      </c>
      <c r="AD10" s="3">
        <v>45833</v>
      </c>
      <c r="AE10" s="3">
        <v>45840</v>
      </c>
      <c r="AF10" s="3">
        <v>45847</v>
      </c>
      <c r="AG10" s="3">
        <v>45854</v>
      </c>
      <c r="AH10" s="3">
        <v>45861</v>
      </c>
      <c r="AI10" s="3">
        <v>45868</v>
      </c>
      <c r="AJ10" s="3">
        <v>45875</v>
      </c>
      <c r="AK10" s="3">
        <v>45882</v>
      </c>
      <c r="AL10" s="3">
        <v>45889</v>
      </c>
      <c r="AM10" s="3">
        <v>45896</v>
      </c>
      <c r="AN10" s="3">
        <v>45903</v>
      </c>
      <c r="AO10" s="3">
        <v>45910</v>
      </c>
      <c r="AP10" s="3">
        <v>45917</v>
      </c>
      <c r="AQ10" s="3">
        <v>45924</v>
      </c>
      <c r="AR10" s="3">
        <v>45931</v>
      </c>
      <c r="AS10" s="3">
        <v>45938</v>
      </c>
      <c r="AT10" s="3">
        <v>45945</v>
      </c>
      <c r="AU10" s="3">
        <v>45952</v>
      </c>
      <c r="AV10" s="3">
        <v>45959</v>
      </c>
      <c r="AW10" s="3">
        <v>45966</v>
      </c>
      <c r="AX10" s="3">
        <v>45973</v>
      </c>
      <c r="AY10" s="3">
        <v>45980</v>
      </c>
      <c r="AZ10" s="3">
        <v>45987</v>
      </c>
      <c r="BA10" s="3">
        <v>45994</v>
      </c>
      <c r="BB10" s="3">
        <v>46001</v>
      </c>
      <c r="BC10" s="3">
        <v>46008</v>
      </c>
      <c r="BD10" s="3">
        <v>46015</v>
      </c>
      <c r="BE10" s="3">
        <v>46022</v>
      </c>
    </row>
    <row r="11" spans="2:57" x14ac:dyDescent="0.25">
      <c r="D11">
        <v>2026</v>
      </c>
      <c r="E11" s="3">
        <v>46023</v>
      </c>
      <c r="F11" s="3">
        <v>46030</v>
      </c>
      <c r="G11" s="3">
        <v>46037</v>
      </c>
      <c r="H11" s="3">
        <v>46044</v>
      </c>
      <c r="I11" s="3">
        <v>46051</v>
      </c>
      <c r="J11" s="3">
        <v>46058</v>
      </c>
      <c r="K11" s="3">
        <v>46065</v>
      </c>
      <c r="L11" s="3">
        <v>46072</v>
      </c>
      <c r="M11" s="3">
        <v>46079</v>
      </c>
      <c r="N11" s="3">
        <v>46086</v>
      </c>
      <c r="O11" s="3">
        <v>46093</v>
      </c>
      <c r="P11" s="3">
        <v>46100</v>
      </c>
      <c r="Q11" s="3">
        <v>46107</v>
      </c>
      <c r="R11" s="3">
        <v>46114</v>
      </c>
      <c r="S11" s="3">
        <v>46121</v>
      </c>
      <c r="T11" s="3">
        <v>46128</v>
      </c>
      <c r="U11" s="3">
        <v>46135</v>
      </c>
      <c r="V11" s="3">
        <v>46142</v>
      </c>
      <c r="W11" s="3">
        <v>46149</v>
      </c>
      <c r="X11" s="3">
        <v>46156</v>
      </c>
      <c r="Y11" s="3">
        <v>46163</v>
      </c>
      <c r="Z11" s="3">
        <v>46170</v>
      </c>
      <c r="AA11" s="3">
        <v>46177</v>
      </c>
      <c r="AB11" s="3">
        <v>46184</v>
      </c>
      <c r="AC11" s="3">
        <v>46191</v>
      </c>
      <c r="AD11" s="3">
        <v>46198</v>
      </c>
      <c r="AE11" s="3">
        <v>46205</v>
      </c>
      <c r="AF11" s="3">
        <v>46212</v>
      </c>
      <c r="AG11" s="3">
        <v>46219</v>
      </c>
      <c r="AH11" s="3">
        <v>46226</v>
      </c>
      <c r="AI11" s="3">
        <v>46233</v>
      </c>
      <c r="AJ11" s="3">
        <v>46240</v>
      </c>
      <c r="AK11" s="3">
        <v>46247</v>
      </c>
      <c r="AL11" s="3">
        <v>46254</v>
      </c>
      <c r="AM11" s="3">
        <v>46261</v>
      </c>
      <c r="AN11" s="3">
        <v>46268</v>
      </c>
      <c r="AO11" s="3">
        <v>46275</v>
      </c>
      <c r="AP11" s="3">
        <v>46282</v>
      </c>
      <c r="AQ11" s="3">
        <v>46289</v>
      </c>
      <c r="AR11" s="3">
        <v>46296</v>
      </c>
      <c r="AS11" s="3">
        <v>46303</v>
      </c>
      <c r="AT11" s="3">
        <v>46310</v>
      </c>
      <c r="AU11" s="3">
        <v>46317</v>
      </c>
      <c r="AV11" s="3">
        <v>46324</v>
      </c>
      <c r="AW11" s="3">
        <v>46331</v>
      </c>
      <c r="AX11" s="3">
        <v>46338</v>
      </c>
      <c r="AY11" s="3">
        <v>46345</v>
      </c>
      <c r="AZ11" s="3">
        <v>46352</v>
      </c>
      <c r="BA11" s="3">
        <v>46359</v>
      </c>
      <c r="BB11" s="3">
        <v>46366</v>
      </c>
      <c r="BC11" s="3">
        <v>46373</v>
      </c>
      <c r="BD11" s="3">
        <v>46380</v>
      </c>
      <c r="BE11" s="3">
        <v>46387</v>
      </c>
    </row>
    <row r="12" spans="2:57" x14ac:dyDescent="0.25">
      <c r="B12" s="1"/>
      <c r="C12" s="1"/>
      <c r="D12">
        <v>2027</v>
      </c>
      <c r="E12" s="3">
        <v>46388</v>
      </c>
      <c r="F12" s="3">
        <v>46395</v>
      </c>
      <c r="G12" s="3">
        <v>46402</v>
      </c>
      <c r="H12" s="3">
        <v>46409</v>
      </c>
      <c r="I12" s="3">
        <v>46416</v>
      </c>
      <c r="J12" s="3">
        <v>46423</v>
      </c>
      <c r="K12" s="3">
        <v>46430</v>
      </c>
      <c r="L12" s="3">
        <v>46437</v>
      </c>
      <c r="M12" s="3">
        <v>46444</v>
      </c>
      <c r="N12" s="3">
        <v>46451</v>
      </c>
      <c r="O12" s="3">
        <v>46458</v>
      </c>
      <c r="P12" s="3">
        <v>46465</v>
      </c>
      <c r="Q12" s="3">
        <v>46472</v>
      </c>
      <c r="R12" s="3">
        <v>46479</v>
      </c>
      <c r="S12" s="3">
        <v>46486</v>
      </c>
      <c r="T12" s="3">
        <v>46493</v>
      </c>
      <c r="U12" s="3">
        <v>46500</v>
      </c>
      <c r="V12" s="3">
        <v>46507</v>
      </c>
      <c r="W12" s="3">
        <v>46514</v>
      </c>
      <c r="X12" s="3">
        <v>46521</v>
      </c>
      <c r="Y12" s="3">
        <v>46528</v>
      </c>
      <c r="Z12" s="3">
        <v>46535</v>
      </c>
      <c r="AA12" s="3">
        <v>46542</v>
      </c>
      <c r="AB12" s="3">
        <v>46549</v>
      </c>
      <c r="AC12" s="3">
        <v>46556</v>
      </c>
      <c r="AD12" s="3">
        <v>46563</v>
      </c>
      <c r="AE12" s="3">
        <v>46570</v>
      </c>
      <c r="AF12" s="3">
        <v>46577</v>
      </c>
      <c r="AG12" s="3">
        <v>46584</v>
      </c>
      <c r="AH12" s="3">
        <v>46591</v>
      </c>
      <c r="AI12" s="3">
        <v>46598</v>
      </c>
      <c r="AJ12" s="3">
        <v>46605</v>
      </c>
      <c r="AK12" s="3">
        <v>46612</v>
      </c>
      <c r="AL12" s="3">
        <v>46619</v>
      </c>
      <c r="AM12" s="3">
        <v>46626</v>
      </c>
      <c r="AN12" s="3">
        <v>46633</v>
      </c>
      <c r="AO12" s="3">
        <v>46640</v>
      </c>
      <c r="AP12" s="3">
        <v>46647</v>
      </c>
      <c r="AQ12" s="3">
        <v>46654</v>
      </c>
      <c r="AR12" s="3">
        <v>46661</v>
      </c>
      <c r="AS12" s="3">
        <v>46668</v>
      </c>
      <c r="AT12" s="3">
        <v>46675</v>
      </c>
      <c r="AU12" s="3">
        <v>46682</v>
      </c>
      <c r="AV12" s="3">
        <v>46689</v>
      </c>
      <c r="AW12" s="3">
        <v>46696</v>
      </c>
      <c r="AX12" s="3">
        <v>46703</v>
      </c>
      <c r="AY12" s="3">
        <v>46710</v>
      </c>
      <c r="AZ12" s="3">
        <v>46717</v>
      </c>
      <c r="BA12" s="3">
        <v>46724</v>
      </c>
      <c r="BB12" s="3">
        <v>46731</v>
      </c>
      <c r="BC12" s="3">
        <v>46738</v>
      </c>
      <c r="BD12" s="3">
        <v>46745</v>
      </c>
      <c r="BE12" s="3">
        <v>46752</v>
      </c>
    </row>
    <row r="13" spans="2:57" x14ac:dyDescent="0.25">
      <c r="B13" s="1"/>
      <c r="D13">
        <v>2028</v>
      </c>
      <c r="E13" s="3">
        <v>46753</v>
      </c>
      <c r="F13" s="3">
        <v>46760</v>
      </c>
      <c r="G13" s="3">
        <v>46767</v>
      </c>
      <c r="H13" s="3">
        <v>46774</v>
      </c>
      <c r="I13" s="3">
        <v>46781</v>
      </c>
      <c r="J13" s="3">
        <v>46788</v>
      </c>
      <c r="K13" s="3">
        <v>46795</v>
      </c>
      <c r="L13" s="3">
        <v>46802</v>
      </c>
      <c r="M13" s="3">
        <v>46809</v>
      </c>
      <c r="N13" s="3">
        <v>46816</v>
      </c>
      <c r="O13" s="3">
        <v>46823</v>
      </c>
      <c r="P13" s="3">
        <v>46830</v>
      </c>
      <c r="Q13" s="3">
        <v>46837</v>
      </c>
      <c r="R13" s="3">
        <v>46844</v>
      </c>
      <c r="S13" s="3">
        <v>46851</v>
      </c>
      <c r="T13" s="3">
        <v>46858</v>
      </c>
      <c r="U13" s="3">
        <v>46865</v>
      </c>
      <c r="V13" s="3">
        <v>46872</v>
      </c>
      <c r="W13" s="3">
        <v>46879</v>
      </c>
      <c r="X13" s="3">
        <v>46886</v>
      </c>
      <c r="Y13" s="3">
        <v>46893</v>
      </c>
      <c r="Z13" s="3">
        <v>46900</v>
      </c>
      <c r="AA13" s="3">
        <v>46907</v>
      </c>
      <c r="AB13" s="3">
        <v>46914</v>
      </c>
      <c r="AC13" s="3">
        <v>46921</v>
      </c>
      <c r="AD13" s="3">
        <v>46928</v>
      </c>
      <c r="AE13" s="3">
        <v>46935</v>
      </c>
      <c r="AF13" s="3">
        <v>46942</v>
      </c>
      <c r="AG13" s="3">
        <v>46949</v>
      </c>
      <c r="AH13" s="3">
        <v>46956</v>
      </c>
      <c r="AI13" s="3">
        <v>46963</v>
      </c>
      <c r="AJ13" s="3">
        <v>46970</v>
      </c>
      <c r="AK13" s="3">
        <v>46977</v>
      </c>
      <c r="AL13" s="3">
        <v>46984</v>
      </c>
      <c r="AM13" s="3">
        <v>46991</v>
      </c>
      <c r="AN13" s="3">
        <v>46998</v>
      </c>
      <c r="AO13" s="3">
        <v>47005</v>
      </c>
      <c r="AP13" s="3">
        <v>47012</v>
      </c>
      <c r="AQ13" s="3">
        <v>47019</v>
      </c>
      <c r="AR13" s="3">
        <v>47026</v>
      </c>
      <c r="AS13" s="3">
        <v>47033</v>
      </c>
      <c r="AT13" s="3">
        <v>47040</v>
      </c>
      <c r="AU13" s="3">
        <v>47047</v>
      </c>
      <c r="AV13" s="3">
        <v>47054</v>
      </c>
      <c r="AW13" s="3">
        <v>47061</v>
      </c>
      <c r="AX13" s="3">
        <v>47068</v>
      </c>
      <c r="AY13" s="3">
        <v>47075</v>
      </c>
      <c r="AZ13" s="3">
        <v>47082</v>
      </c>
      <c r="BA13" s="3">
        <v>47089</v>
      </c>
      <c r="BB13" s="3">
        <v>47096</v>
      </c>
      <c r="BC13" s="3">
        <v>47103</v>
      </c>
      <c r="BD13" s="3">
        <v>47110</v>
      </c>
      <c r="BE13" s="3">
        <v>47117</v>
      </c>
    </row>
    <row r="14" spans="2:57" x14ac:dyDescent="0.25">
      <c r="D14">
        <v>2029</v>
      </c>
      <c r="E14" s="3">
        <v>47119</v>
      </c>
      <c r="F14" s="3">
        <v>47126</v>
      </c>
      <c r="G14" s="3">
        <v>47133</v>
      </c>
      <c r="H14" s="3">
        <v>47140</v>
      </c>
      <c r="I14" s="3">
        <v>47147</v>
      </c>
      <c r="J14" s="3">
        <v>47154</v>
      </c>
      <c r="K14" s="3">
        <v>47161</v>
      </c>
      <c r="L14" s="3">
        <v>47168</v>
      </c>
      <c r="M14" s="3">
        <v>47175</v>
      </c>
      <c r="N14" s="3">
        <v>47182</v>
      </c>
      <c r="O14" s="3">
        <v>47189</v>
      </c>
      <c r="P14" s="3">
        <v>47196</v>
      </c>
      <c r="Q14" s="3">
        <v>47203</v>
      </c>
      <c r="R14" s="3">
        <v>47210</v>
      </c>
      <c r="S14" s="3">
        <v>47217</v>
      </c>
      <c r="T14" s="3">
        <v>47224</v>
      </c>
      <c r="U14" s="3">
        <v>47231</v>
      </c>
      <c r="V14" s="3">
        <v>47238</v>
      </c>
      <c r="W14" s="3">
        <v>47245</v>
      </c>
      <c r="X14" s="3">
        <v>47252</v>
      </c>
      <c r="Y14" s="3">
        <v>47259</v>
      </c>
      <c r="Z14" s="3">
        <v>47266</v>
      </c>
      <c r="AA14" s="3">
        <v>47273</v>
      </c>
      <c r="AB14" s="3">
        <v>47280</v>
      </c>
      <c r="AC14" s="3">
        <v>47287</v>
      </c>
      <c r="AD14" s="3">
        <v>47294</v>
      </c>
      <c r="AE14" s="3">
        <v>47301</v>
      </c>
      <c r="AF14" s="3">
        <v>47308</v>
      </c>
      <c r="AG14" s="3">
        <v>47315</v>
      </c>
      <c r="AH14" s="3">
        <v>47322</v>
      </c>
      <c r="AI14" s="3">
        <v>47329</v>
      </c>
      <c r="AJ14" s="3">
        <v>47336</v>
      </c>
      <c r="AK14" s="3">
        <v>47343</v>
      </c>
      <c r="AL14" s="3">
        <v>47350</v>
      </c>
      <c r="AM14" s="3">
        <v>47357</v>
      </c>
      <c r="AN14" s="3">
        <v>47364</v>
      </c>
      <c r="AO14" s="3">
        <v>47371</v>
      </c>
      <c r="AP14" s="3">
        <v>47378</v>
      </c>
      <c r="AQ14" s="3">
        <v>47385</v>
      </c>
      <c r="AR14" s="3">
        <v>47392</v>
      </c>
      <c r="AS14" s="3">
        <v>47399</v>
      </c>
      <c r="AT14" s="3">
        <v>47406</v>
      </c>
      <c r="AU14" s="3">
        <v>47413</v>
      </c>
      <c r="AV14" s="3">
        <v>47420</v>
      </c>
      <c r="AW14" s="3">
        <v>47427</v>
      </c>
      <c r="AX14" s="3">
        <v>47434</v>
      </c>
      <c r="AY14" s="3">
        <v>47441</v>
      </c>
      <c r="AZ14" s="3">
        <v>47448</v>
      </c>
      <c r="BA14" s="3">
        <v>47455</v>
      </c>
      <c r="BB14" s="3">
        <v>47462</v>
      </c>
      <c r="BC14" s="3">
        <v>47469</v>
      </c>
      <c r="BD14" s="3">
        <v>47476</v>
      </c>
      <c r="BE14" s="3">
        <v>47483</v>
      </c>
    </row>
    <row r="15" spans="2:57" x14ac:dyDescent="0.25">
      <c r="D15">
        <v>2030</v>
      </c>
      <c r="E15" s="3">
        <v>47484</v>
      </c>
      <c r="F15" s="3">
        <v>47491</v>
      </c>
      <c r="G15" s="3">
        <v>47498</v>
      </c>
      <c r="H15" s="3">
        <v>47505</v>
      </c>
      <c r="I15" s="3">
        <v>47512</v>
      </c>
      <c r="J15" s="3">
        <v>47519</v>
      </c>
      <c r="K15" s="3">
        <v>47526</v>
      </c>
      <c r="L15" s="3">
        <v>47533</v>
      </c>
      <c r="M15" s="3">
        <v>47540</v>
      </c>
      <c r="N15" s="3">
        <v>47547</v>
      </c>
      <c r="O15" s="3">
        <v>47554</v>
      </c>
      <c r="P15" s="3">
        <v>47561</v>
      </c>
      <c r="Q15" s="3">
        <v>47568</v>
      </c>
      <c r="R15" s="3">
        <v>47575</v>
      </c>
      <c r="S15" s="3">
        <v>47582</v>
      </c>
      <c r="T15" s="3">
        <v>47589</v>
      </c>
      <c r="U15" s="3">
        <v>47596</v>
      </c>
      <c r="V15" s="3">
        <v>47603</v>
      </c>
      <c r="W15" s="3">
        <v>47610</v>
      </c>
      <c r="X15" s="3">
        <v>47617</v>
      </c>
      <c r="Y15" s="3">
        <v>47624</v>
      </c>
      <c r="Z15" s="3">
        <v>47631</v>
      </c>
      <c r="AA15" s="3">
        <v>47638</v>
      </c>
      <c r="AB15" s="3">
        <v>47645</v>
      </c>
      <c r="AC15" s="3">
        <v>47652</v>
      </c>
      <c r="AD15" s="3">
        <v>47659</v>
      </c>
      <c r="AE15" s="3">
        <v>47666</v>
      </c>
      <c r="AF15" s="3">
        <v>47673</v>
      </c>
      <c r="AG15" s="3">
        <v>47680</v>
      </c>
      <c r="AH15" s="3">
        <v>47687</v>
      </c>
      <c r="AI15" s="3">
        <v>47694</v>
      </c>
      <c r="AJ15" s="3">
        <v>47701</v>
      </c>
      <c r="AK15" s="3">
        <v>47708</v>
      </c>
      <c r="AL15" s="3">
        <v>47715</v>
      </c>
      <c r="AM15" s="3">
        <v>47722</v>
      </c>
      <c r="AN15" s="3">
        <v>47729</v>
      </c>
      <c r="AO15" s="3">
        <v>47736</v>
      </c>
      <c r="AP15" s="3">
        <v>47743</v>
      </c>
      <c r="AQ15" s="3">
        <v>47750</v>
      </c>
      <c r="AR15" s="3">
        <v>47757</v>
      </c>
      <c r="AS15" s="3">
        <v>47764</v>
      </c>
      <c r="AT15" s="3">
        <v>47771</v>
      </c>
      <c r="AU15" s="3">
        <v>47778</v>
      </c>
      <c r="AV15" s="3">
        <v>47785</v>
      </c>
      <c r="AW15" s="3">
        <v>47792</v>
      </c>
      <c r="AX15" s="3">
        <v>47799</v>
      </c>
      <c r="AY15" s="3">
        <v>47806</v>
      </c>
      <c r="AZ15" s="3">
        <v>47813</v>
      </c>
      <c r="BA15" s="3">
        <v>47820</v>
      </c>
      <c r="BB15" s="3">
        <v>47827</v>
      </c>
      <c r="BC15" s="3">
        <v>47834</v>
      </c>
      <c r="BD15" s="3">
        <v>47841</v>
      </c>
      <c r="BE15" s="3">
        <v>47848</v>
      </c>
    </row>
    <row r="17" spans="5:43" x14ac:dyDescent="0.25">
      <c r="AQ17" s="4" t="s">
        <v>47</v>
      </c>
    </row>
    <row r="18" spans="5:43" x14ac:dyDescent="0.25">
      <c r="AQ18" s="4" t="s">
        <v>48</v>
      </c>
    </row>
    <row r="19" spans="5:43" x14ac:dyDescent="0.25">
      <c r="E19" t="s">
        <v>50</v>
      </c>
      <c r="AQ19" s="4" t="s">
        <v>2</v>
      </c>
    </row>
    <row r="20" spans="5:43" x14ac:dyDescent="0.25">
      <c r="F20" t="s">
        <v>63</v>
      </c>
      <c r="J20" s="38" t="s">
        <v>64</v>
      </c>
      <c r="K20" t="s">
        <v>65</v>
      </c>
      <c r="AQ20" s="4" t="s">
        <v>0</v>
      </c>
    </row>
    <row r="21" spans="5:43" x14ac:dyDescent="0.25">
      <c r="E21" t="s">
        <v>51</v>
      </c>
      <c r="AQ21" s="4" t="s">
        <v>1</v>
      </c>
    </row>
    <row r="22" spans="5:43" x14ac:dyDescent="0.25">
      <c r="AQ22" s="4" t="s">
        <v>5</v>
      </c>
    </row>
    <row r="23" spans="5:43" x14ac:dyDescent="0.25">
      <c r="E23" t="s">
        <v>52</v>
      </c>
      <c r="AQ23" s="4" t="s">
        <v>4</v>
      </c>
    </row>
    <row r="24" spans="5:43" x14ac:dyDescent="0.25">
      <c r="AQ24" s="4" t="s">
        <v>6</v>
      </c>
    </row>
    <row r="25" spans="5:43" x14ac:dyDescent="0.25">
      <c r="E25" t="s">
        <v>53</v>
      </c>
      <c r="AQ25" s="4" t="s">
        <v>3</v>
      </c>
    </row>
    <row r="26" spans="5:43" x14ac:dyDescent="0.25">
      <c r="AQ26" s="4" t="s">
        <v>49</v>
      </c>
    </row>
  </sheetData>
  <conditionalFormatting sqref="E5:BE5">
    <cfRule type="colorScale" priority="3">
      <colorScale>
        <cfvo type="num" val="3"/>
        <cfvo type="num" val="4"/>
        <color theme="8"/>
        <color theme="9"/>
      </colorScale>
    </cfRule>
    <cfRule type="colorScale" priority="4">
      <colorScale>
        <cfvo type="num" val="6"/>
        <cfvo type="num" val="7"/>
        <color rgb="FFFF7128"/>
        <color rgb="FFFFEF9C"/>
      </colorScale>
    </cfRule>
  </conditionalFormatting>
  <conditionalFormatting sqref="E7:BE15">
    <cfRule type="expression" dxfId="2" priority="1">
      <formula>AND(WEEKNUM(TODAY())=WEEKNUM(E7),YEAR(TODAY())=$D7)</formula>
    </cfRule>
    <cfRule type="expression" dxfId="1" priority="7">
      <formula>E7&gt;TODAY()</formula>
    </cfRule>
    <cfRule type="expression" dxfId="0" priority="8">
      <formula>E7&lt;TODAY()</formula>
    </cfRule>
  </conditionalFormatting>
  <conditionalFormatting sqref="AE5:BE5">
    <cfRule type="colorScale" priority="2">
      <colorScale>
        <cfvo type="num" val="9"/>
        <cfvo type="num" val="10"/>
        <color rgb="FFCC66FF"/>
        <color rgb="FFFFEF9C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A84C7-C807-4726-A7C0-4FF2D4586102}">
  <dimension ref="A4:AB38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42" sqref="F42"/>
    </sheetView>
  </sheetViews>
  <sheetFormatPr defaultRowHeight="15" x14ac:dyDescent="0.25"/>
  <cols>
    <col min="1" max="1" width="21.7109375" bestFit="1" customWidth="1"/>
    <col min="2" max="2" width="22.140625" style="10" customWidth="1"/>
    <col min="3" max="4" width="22.140625" style="8" customWidth="1"/>
    <col min="5" max="9" width="22.140625" customWidth="1"/>
  </cols>
  <sheetData>
    <row r="4" spans="1:10" x14ac:dyDescent="0.25">
      <c r="A4" s="22"/>
      <c r="B4" s="23" t="s">
        <v>30</v>
      </c>
      <c r="C4" s="24" t="s">
        <v>9</v>
      </c>
      <c r="D4" s="24" t="s">
        <v>15</v>
      </c>
      <c r="E4" s="22" t="s">
        <v>10</v>
      </c>
      <c r="F4" s="22" t="s">
        <v>14</v>
      </c>
      <c r="G4" s="22" t="s">
        <v>16</v>
      </c>
      <c r="H4" s="22" t="s">
        <v>11</v>
      </c>
      <c r="I4" s="22" t="s">
        <v>12</v>
      </c>
    </row>
    <row r="5" spans="1:10" x14ac:dyDescent="0.25">
      <c r="A5" t="s">
        <v>8</v>
      </c>
      <c r="B5" s="10">
        <v>44410</v>
      </c>
      <c r="C5" s="8">
        <v>35000</v>
      </c>
      <c r="D5" s="8">
        <v>46595.39</v>
      </c>
      <c r="E5" s="9">
        <f t="shared" ref="E5:E11" si="0">D5/C5-1</f>
        <v>0.33129685714285717</v>
      </c>
      <c r="F5" s="9">
        <f t="shared" ref="F5:F11" ca="1" si="1">E5/G5</f>
        <v>8.2824214285714293E-2</v>
      </c>
      <c r="G5" s="7">
        <f ca="1">YEAR(TODAY())-YEAR(B5)</f>
        <v>4</v>
      </c>
      <c r="H5" t="s">
        <v>7</v>
      </c>
      <c r="I5" t="s">
        <v>13</v>
      </c>
    </row>
    <row r="6" spans="1:10" x14ac:dyDescent="0.25">
      <c r="A6" t="s">
        <v>17</v>
      </c>
      <c r="B6" s="10">
        <v>45085</v>
      </c>
      <c r="C6" s="8">
        <v>21000</v>
      </c>
      <c r="D6" s="8">
        <v>23417.52</v>
      </c>
      <c r="E6" s="9">
        <f t="shared" si="0"/>
        <v>0.11512000000000011</v>
      </c>
      <c r="F6" s="9">
        <f t="shared" ca="1" si="1"/>
        <v>5.7560000000000056E-2</v>
      </c>
      <c r="G6" s="7">
        <f t="shared" ref="G6:G19" ca="1" si="2">YEAR(TODAY())-YEAR(B6)</f>
        <v>2</v>
      </c>
      <c r="H6" t="s">
        <v>7</v>
      </c>
      <c r="I6" t="s">
        <v>13</v>
      </c>
    </row>
    <row r="7" spans="1:10" x14ac:dyDescent="0.25">
      <c r="A7" t="s">
        <v>18</v>
      </c>
      <c r="B7" s="10">
        <v>45293</v>
      </c>
      <c r="C7" s="8">
        <v>10000</v>
      </c>
      <c r="D7" s="8">
        <v>10496.39</v>
      </c>
      <c r="E7" s="9">
        <f t="shared" si="0"/>
        <v>4.9638999999999989E-2</v>
      </c>
      <c r="F7" s="9">
        <f t="shared" ca="1" si="1"/>
        <v>4.9638999999999989E-2</v>
      </c>
      <c r="G7" s="7">
        <f t="shared" ca="1" si="2"/>
        <v>1</v>
      </c>
      <c r="H7" t="s">
        <v>7</v>
      </c>
      <c r="I7" t="s">
        <v>13</v>
      </c>
    </row>
    <row r="8" spans="1:10" s="11" customFormat="1" x14ac:dyDescent="0.25">
      <c r="A8" s="11" t="s">
        <v>20</v>
      </c>
      <c r="B8" s="12">
        <v>43497</v>
      </c>
      <c r="C8" s="13">
        <v>15000</v>
      </c>
      <c r="D8" s="13">
        <v>21207.77</v>
      </c>
      <c r="E8" s="14">
        <f t="shared" si="0"/>
        <v>0.41385133333333335</v>
      </c>
      <c r="F8" s="14">
        <f t="shared" ca="1" si="1"/>
        <v>6.8975222222222229E-2</v>
      </c>
      <c r="G8" s="25">
        <f t="shared" ca="1" si="2"/>
        <v>6</v>
      </c>
      <c r="H8" s="11" t="s">
        <v>7</v>
      </c>
      <c r="I8" s="11" t="s">
        <v>19</v>
      </c>
      <c r="J8" s="11" t="s">
        <v>43</v>
      </c>
    </row>
    <row r="9" spans="1:10" s="11" customFormat="1" x14ac:dyDescent="0.25">
      <c r="A9" s="11" t="s">
        <v>21</v>
      </c>
      <c r="B9" s="12">
        <v>44411</v>
      </c>
      <c r="C9" s="13">
        <v>14989.43</v>
      </c>
      <c r="D9" s="13">
        <v>15253.42</v>
      </c>
      <c r="E9" s="14">
        <f t="shared" si="0"/>
        <v>1.761174374209018E-2</v>
      </c>
      <c r="F9" s="14">
        <f t="shared" ca="1" si="1"/>
        <v>4.402935935522545E-3</v>
      </c>
      <c r="G9" s="25">
        <f t="shared" ca="1" si="2"/>
        <v>4</v>
      </c>
      <c r="H9" s="11" t="s">
        <v>7</v>
      </c>
      <c r="I9" s="11" t="s">
        <v>19</v>
      </c>
      <c r="J9" s="11" t="s">
        <v>43</v>
      </c>
    </row>
    <row r="10" spans="1:10" x14ac:dyDescent="0.25">
      <c r="A10" t="s">
        <v>22</v>
      </c>
      <c r="B10" s="10">
        <v>44411</v>
      </c>
      <c r="C10" s="26">
        <v>10000</v>
      </c>
      <c r="D10" s="26">
        <v>10004.290000000001</v>
      </c>
      <c r="E10" s="27">
        <f t="shared" si="0"/>
        <v>4.290000000000127E-4</v>
      </c>
      <c r="F10" s="15">
        <f t="shared" ca="1" si="1"/>
        <v>1.0725000000000318E-4</v>
      </c>
      <c r="G10" s="28">
        <f t="shared" ca="1" si="2"/>
        <v>4</v>
      </c>
      <c r="H10" t="s">
        <v>7</v>
      </c>
      <c r="I10" t="s">
        <v>19</v>
      </c>
      <c r="J10" t="s">
        <v>42</v>
      </c>
    </row>
    <row r="11" spans="1:10" s="11" customFormat="1" x14ac:dyDescent="0.25">
      <c r="A11" s="11" t="s">
        <v>23</v>
      </c>
      <c r="B11" s="12">
        <v>43497</v>
      </c>
      <c r="C11" s="13">
        <v>5000</v>
      </c>
      <c r="D11" s="13">
        <v>7436.09</v>
      </c>
      <c r="E11" s="14">
        <f t="shared" si="0"/>
        <v>0.48721799999999993</v>
      </c>
      <c r="F11" s="14">
        <f t="shared" ca="1" si="1"/>
        <v>8.1202999999999984E-2</v>
      </c>
      <c r="G11" s="25">
        <f t="shared" ca="1" si="2"/>
        <v>6</v>
      </c>
      <c r="H11" s="11" t="s">
        <v>7</v>
      </c>
      <c r="I11" s="11" t="s">
        <v>19</v>
      </c>
      <c r="J11" s="11" t="s">
        <v>43</v>
      </c>
    </row>
    <row r="12" spans="1:10" s="11" customFormat="1" x14ac:dyDescent="0.25">
      <c r="A12" s="11" t="s">
        <v>24</v>
      </c>
      <c r="B12" s="12">
        <v>43497</v>
      </c>
      <c r="C12" s="13">
        <v>5000</v>
      </c>
      <c r="D12" s="13">
        <v>7496.92</v>
      </c>
      <c r="E12" s="14">
        <f t="shared" ref="E12:E17" si="3">D12/C12-1</f>
        <v>0.49938400000000005</v>
      </c>
      <c r="F12" s="14">
        <f t="shared" ref="F12:F20" ca="1" si="4">E12/G12</f>
        <v>8.3230666666666675E-2</v>
      </c>
      <c r="G12" s="25">
        <f t="shared" ca="1" si="2"/>
        <v>6</v>
      </c>
      <c r="H12" s="11" t="s">
        <v>7</v>
      </c>
      <c r="I12" s="11" t="s">
        <v>19</v>
      </c>
      <c r="J12" s="11" t="s">
        <v>43</v>
      </c>
    </row>
    <row r="13" spans="1:10" x14ac:dyDescent="0.25">
      <c r="A13" t="s">
        <v>25</v>
      </c>
      <c r="B13" s="10">
        <v>43872</v>
      </c>
      <c r="C13" s="8">
        <v>10000</v>
      </c>
      <c r="D13" s="8">
        <v>11072.87</v>
      </c>
      <c r="E13" s="15">
        <f t="shared" si="3"/>
        <v>0.10728700000000013</v>
      </c>
      <c r="F13" s="15">
        <f t="shared" ca="1" si="4"/>
        <v>2.1457400000000026E-2</v>
      </c>
      <c r="G13" s="7">
        <f t="shared" ca="1" si="2"/>
        <v>5</v>
      </c>
      <c r="H13" t="s">
        <v>7</v>
      </c>
      <c r="I13" t="s">
        <v>25</v>
      </c>
      <c r="J13" t="s">
        <v>28</v>
      </c>
    </row>
    <row r="14" spans="1:10" x14ac:dyDescent="0.25">
      <c r="A14" t="s">
        <v>26</v>
      </c>
      <c r="B14" s="10">
        <v>44120</v>
      </c>
      <c r="C14" s="8">
        <v>5998.74</v>
      </c>
      <c r="D14" s="8">
        <v>7343.88</v>
      </c>
      <c r="E14" s="15">
        <f t="shared" si="3"/>
        <v>0.2242370897888557</v>
      </c>
      <c r="F14" s="15">
        <f t="shared" ca="1" si="4"/>
        <v>4.4847417957771141E-2</v>
      </c>
      <c r="G14" s="7">
        <f t="shared" ca="1" si="2"/>
        <v>5</v>
      </c>
      <c r="H14" t="s">
        <v>7</v>
      </c>
      <c r="I14" t="s">
        <v>27</v>
      </c>
      <c r="J14" t="s">
        <v>29</v>
      </c>
    </row>
    <row r="15" spans="1:10" x14ac:dyDescent="0.25">
      <c r="A15" t="s">
        <v>18</v>
      </c>
      <c r="B15" s="10">
        <v>45093</v>
      </c>
      <c r="C15" s="8">
        <v>40000</v>
      </c>
      <c r="D15" s="8">
        <v>45095.28</v>
      </c>
      <c r="E15" s="15">
        <f t="shared" si="3"/>
        <v>0.12738199999999988</v>
      </c>
      <c r="F15" s="15">
        <f t="shared" ca="1" si="4"/>
        <v>6.3690999999999942E-2</v>
      </c>
      <c r="G15" s="7">
        <f t="shared" ca="1" si="2"/>
        <v>2</v>
      </c>
      <c r="H15" t="s">
        <v>44</v>
      </c>
      <c r="I15" t="s">
        <v>13</v>
      </c>
    </row>
    <row r="16" spans="1:10" x14ac:dyDescent="0.25">
      <c r="A16" t="s">
        <v>32</v>
      </c>
      <c r="B16" s="10">
        <v>45092</v>
      </c>
      <c r="C16" s="8">
        <v>22169.7</v>
      </c>
      <c r="D16" s="8">
        <v>25445.7</v>
      </c>
      <c r="E16" s="15">
        <f t="shared" si="3"/>
        <v>0.14776925262858764</v>
      </c>
      <c r="F16" s="15">
        <f t="shared" ca="1" si="4"/>
        <v>7.3884626314293822E-2</v>
      </c>
      <c r="G16" s="7">
        <f t="shared" ca="1" si="2"/>
        <v>2</v>
      </c>
      <c r="H16" t="s">
        <v>44</v>
      </c>
      <c r="I16" t="s">
        <v>33</v>
      </c>
      <c r="J16" t="s">
        <v>40</v>
      </c>
    </row>
    <row r="17" spans="1:28" x14ac:dyDescent="0.25">
      <c r="A17" t="s">
        <v>34</v>
      </c>
      <c r="B17" s="10">
        <v>45383</v>
      </c>
      <c r="C17" s="8">
        <v>20644.72</v>
      </c>
      <c r="D17" s="8">
        <v>19642.080000000002</v>
      </c>
      <c r="E17" s="15">
        <f t="shared" si="3"/>
        <v>-4.8566413107080098E-2</v>
      </c>
      <c r="F17" s="15">
        <f t="shared" ca="1" si="4"/>
        <v>-4.8566413107080098E-2</v>
      </c>
      <c r="G17" s="7">
        <f t="shared" ca="1" si="2"/>
        <v>1</v>
      </c>
      <c r="H17" t="s">
        <v>44</v>
      </c>
      <c r="I17" t="s">
        <v>33</v>
      </c>
      <c r="J17" t="s">
        <v>37</v>
      </c>
    </row>
    <row r="18" spans="1:28" x14ac:dyDescent="0.25">
      <c r="A18" t="s">
        <v>35</v>
      </c>
      <c r="B18" s="10">
        <v>45323</v>
      </c>
      <c r="C18" s="8">
        <v>7076</v>
      </c>
      <c r="D18" s="8">
        <v>7328</v>
      </c>
      <c r="E18" s="15">
        <f t="shared" ref="E18:E20" si="5">D18/C18-1</f>
        <v>3.5613340870548349E-2</v>
      </c>
      <c r="F18" s="15">
        <f t="shared" ca="1" si="4"/>
        <v>3.5613340870548349E-2</v>
      </c>
      <c r="G18" s="7">
        <f t="shared" ca="1" si="2"/>
        <v>1</v>
      </c>
      <c r="H18" t="s">
        <v>44</v>
      </c>
      <c r="I18" t="s">
        <v>31</v>
      </c>
      <c r="J18" t="s">
        <v>38</v>
      </c>
    </row>
    <row r="19" spans="1:28" x14ac:dyDescent="0.25">
      <c r="A19" t="s">
        <v>36</v>
      </c>
      <c r="B19" s="10">
        <v>45413</v>
      </c>
      <c r="C19" s="8">
        <v>9949.16</v>
      </c>
      <c r="D19" s="8">
        <v>9988.8700000000008</v>
      </c>
      <c r="E19" s="15">
        <f t="shared" si="5"/>
        <v>3.9912917271409665E-3</v>
      </c>
      <c r="F19" s="15">
        <f t="shared" ca="1" si="4"/>
        <v>3.9912917271409665E-3</v>
      </c>
      <c r="G19" s="7">
        <f t="shared" ca="1" si="2"/>
        <v>1</v>
      </c>
      <c r="H19" t="s">
        <v>44</v>
      </c>
      <c r="I19" t="s">
        <v>31</v>
      </c>
      <c r="J19" t="s">
        <v>39</v>
      </c>
    </row>
    <row r="20" spans="1:28" s="16" customFormat="1" x14ac:dyDescent="0.25">
      <c r="A20" s="17" t="s">
        <v>41</v>
      </c>
      <c r="B20" s="18">
        <f>MIN(B5:B19)</f>
        <v>43497</v>
      </c>
      <c r="C20" s="19">
        <f>SUM(C5:C19)</f>
        <v>231827.75</v>
      </c>
      <c r="D20" s="19">
        <f>SUM(D5:D19)</f>
        <v>267824.47000000003</v>
      </c>
      <c r="E20" s="20">
        <f t="shared" si="5"/>
        <v>0.15527355978738533</v>
      </c>
      <c r="F20" s="20">
        <f t="shared" ca="1" si="4"/>
        <v>2.5878926631230887E-2</v>
      </c>
      <c r="G20" s="21">
        <f t="shared" ref="G20" ca="1" si="6">YEAR(TODAY())-YEAR(B20)</f>
        <v>6</v>
      </c>
      <c r="H20" s="17"/>
      <c r="I20" s="17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7" spans="1:28" x14ac:dyDescent="0.25">
      <c r="B27" s="31"/>
      <c r="C27" s="8">
        <v>30000</v>
      </c>
    </row>
    <row r="28" spans="1:28" x14ac:dyDescent="0.25">
      <c r="B28" s="31">
        <v>2020</v>
      </c>
      <c r="C28" s="8">
        <v>25850</v>
      </c>
      <c r="H28" s="29"/>
      <c r="K28" s="32">
        <f t="shared" ref="K28:N28" si="7">SUM(K30:K33)/$P$34</f>
        <v>3.7313432835820892E-2</v>
      </c>
      <c r="L28" s="32">
        <f t="shared" si="7"/>
        <v>0.23507462686567165</v>
      </c>
      <c r="M28" s="32">
        <f t="shared" si="7"/>
        <v>9.3283582089552244E-2</v>
      </c>
      <c r="N28" s="32">
        <f t="shared" si="7"/>
        <v>0.59701492537313428</v>
      </c>
      <c r="O28" s="32">
        <f>SUM(O30:O33)/$P$34</f>
        <v>3.7313432835820892E-2</v>
      </c>
    </row>
    <row r="29" spans="1:28" x14ac:dyDescent="0.25">
      <c r="B29" s="31">
        <v>2021</v>
      </c>
      <c r="C29" s="8">
        <v>55474</v>
      </c>
      <c r="G29" s="33">
        <f>ROUNDDOWN(G32/H31,0)*H30</f>
        <v>168.56</v>
      </c>
      <c r="H29" s="29"/>
      <c r="I29" s="29"/>
      <c r="K29" t="s">
        <v>19</v>
      </c>
      <c r="L29" t="s">
        <v>33</v>
      </c>
      <c r="M29" t="s">
        <v>45</v>
      </c>
      <c r="N29" t="s">
        <v>13</v>
      </c>
      <c r="O29" t="s">
        <v>46</v>
      </c>
    </row>
    <row r="30" spans="1:28" x14ac:dyDescent="0.25">
      <c r="B30" s="31">
        <v>2022</v>
      </c>
      <c r="C30" s="8">
        <v>68692</v>
      </c>
      <c r="H30">
        <v>0.86</v>
      </c>
      <c r="I30" s="30"/>
      <c r="L30">
        <v>20</v>
      </c>
      <c r="M30">
        <v>7</v>
      </c>
    </row>
    <row r="31" spans="1:28" x14ac:dyDescent="0.25">
      <c r="B31" s="31">
        <v>2023</v>
      </c>
      <c r="C31" s="8">
        <v>82378</v>
      </c>
      <c r="H31">
        <v>102</v>
      </c>
      <c r="L31">
        <v>20</v>
      </c>
      <c r="M31">
        <v>10</v>
      </c>
      <c r="N31">
        <v>48</v>
      </c>
    </row>
    <row r="32" spans="1:28" x14ac:dyDescent="0.25">
      <c r="B32" s="31">
        <v>2024</v>
      </c>
      <c r="C32" s="8">
        <v>42514</v>
      </c>
      <c r="G32">
        <v>20000</v>
      </c>
      <c r="H32">
        <v>7.28</v>
      </c>
      <c r="K32">
        <v>10</v>
      </c>
      <c r="L32">
        <v>23</v>
      </c>
      <c r="M32">
        <v>8</v>
      </c>
      <c r="N32">
        <v>94</v>
      </c>
    </row>
    <row r="33" spans="2:16" x14ac:dyDescent="0.25">
      <c r="B33" s="31"/>
      <c r="C33" s="8">
        <f>SUM(C27:C32)</f>
        <v>304908</v>
      </c>
      <c r="D33" s="32">
        <f>C20/C33</f>
        <v>0.76032032613116085</v>
      </c>
      <c r="H33">
        <v>0.05</v>
      </c>
      <c r="N33">
        <v>18</v>
      </c>
      <c r="O33">
        <v>10</v>
      </c>
    </row>
    <row r="34" spans="2:16" x14ac:dyDescent="0.25">
      <c r="B34" s="31"/>
      <c r="P34">
        <f>SUM(K30:O33)</f>
        <v>268</v>
      </c>
    </row>
    <row r="35" spans="2:16" x14ac:dyDescent="0.25">
      <c r="B35" s="31"/>
      <c r="G35" s="33">
        <f>ROUNDDOWN(G32/H32,0)*H33</f>
        <v>137.35</v>
      </c>
    </row>
    <row r="36" spans="2:16" x14ac:dyDescent="0.25">
      <c r="B36" s="31"/>
    </row>
    <row r="37" spans="2:16" x14ac:dyDescent="0.25">
      <c r="B37" s="31"/>
    </row>
    <row r="38" spans="2:16" x14ac:dyDescent="0.25">
      <c r="B38" s="3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B54CC-5F23-4A28-B6D4-16A30524A899}">
  <dimension ref="A1:O25"/>
  <sheetViews>
    <sheetView workbookViewId="0">
      <selection activeCell="O21" sqref="O21:O22"/>
    </sheetView>
  </sheetViews>
  <sheetFormatPr defaultRowHeight="15" x14ac:dyDescent="0.25"/>
  <cols>
    <col min="1" max="1" width="9.7109375" bestFit="1" customWidth="1"/>
    <col min="2" max="2" width="12.5703125" style="34" bestFit="1" customWidth="1"/>
    <col min="3" max="3" width="11.5703125" style="34" customWidth="1"/>
    <col min="4" max="4" width="11.5703125" style="33" bestFit="1" customWidth="1"/>
    <col min="5" max="5" width="11.5703125" style="34" bestFit="1" customWidth="1"/>
  </cols>
  <sheetData>
    <row r="1" spans="1:10" x14ac:dyDescent="0.25">
      <c r="A1" t="s">
        <v>54</v>
      </c>
      <c r="B1" s="34" t="s">
        <v>58</v>
      </c>
      <c r="C1" s="34" t="s">
        <v>55</v>
      </c>
      <c r="D1" s="33" t="s">
        <v>56</v>
      </c>
      <c r="E1" s="34" t="s">
        <v>57</v>
      </c>
      <c r="F1" s="34" t="s">
        <v>59</v>
      </c>
    </row>
    <row r="2" spans="1:10" x14ac:dyDescent="0.25">
      <c r="A2" s="1">
        <v>45292</v>
      </c>
      <c r="B2" s="34">
        <v>1000</v>
      </c>
      <c r="C2" s="34">
        <v>10</v>
      </c>
      <c r="D2" s="33">
        <v>100</v>
      </c>
      <c r="F2" t="s">
        <v>60</v>
      </c>
      <c r="G2" s="37"/>
    </row>
    <row r="3" spans="1:10" x14ac:dyDescent="0.25">
      <c r="A3" s="1">
        <v>45323</v>
      </c>
      <c r="B3" s="34">
        <f>C3*D3</f>
        <v>1010</v>
      </c>
      <c r="C3" s="34">
        <v>10</v>
      </c>
      <c r="D3" s="33">
        <f>D2*1.01</f>
        <v>101</v>
      </c>
      <c r="E3" s="9">
        <f>(D3-$D$2)/D3</f>
        <v>9.9009900990099011E-3</v>
      </c>
      <c r="F3" t="s">
        <v>60</v>
      </c>
      <c r="G3" s="37"/>
    </row>
    <row r="4" spans="1:10" x14ac:dyDescent="0.25">
      <c r="A4" s="1">
        <v>45352</v>
      </c>
      <c r="B4" s="34">
        <f t="shared" ref="B4:B19" si="0">C4*D4</f>
        <v>1020.1</v>
      </c>
      <c r="C4" s="34">
        <v>10</v>
      </c>
      <c r="D4" s="33">
        <f t="shared" ref="D4:D13" si="1">D3*1.01</f>
        <v>102.01</v>
      </c>
      <c r="E4" s="9">
        <f t="shared" ref="E4:E13" si="2">(D4-$D$2)/D4</f>
        <v>1.970395059307916E-2</v>
      </c>
      <c r="F4" t="s">
        <v>60</v>
      </c>
      <c r="G4" s="37"/>
    </row>
    <row r="5" spans="1:10" x14ac:dyDescent="0.25">
      <c r="A5" s="1">
        <v>45383</v>
      </c>
      <c r="B5" s="34">
        <f t="shared" si="0"/>
        <v>1030.3009999999999</v>
      </c>
      <c r="C5" s="34">
        <v>10</v>
      </c>
      <c r="D5" s="33">
        <f t="shared" si="1"/>
        <v>103.0301</v>
      </c>
      <c r="E5" s="9">
        <f t="shared" si="2"/>
        <v>2.9409852072355597E-2</v>
      </c>
      <c r="F5" t="s">
        <v>60</v>
      </c>
      <c r="G5" s="37"/>
    </row>
    <row r="6" spans="1:10" x14ac:dyDescent="0.25">
      <c r="A6" s="1">
        <v>45413</v>
      </c>
      <c r="B6" s="34">
        <f t="shared" si="0"/>
        <v>1040.60401</v>
      </c>
      <c r="C6" s="34">
        <v>10</v>
      </c>
      <c r="D6" s="33">
        <f t="shared" si="1"/>
        <v>104.060401</v>
      </c>
      <c r="E6" s="9">
        <f t="shared" si="2"/>
        <v>3.9019655517183706E-2</v>
      </c>
      <c r="F6" t="s">
        <v>60</v>
      </c>
      <c r="G6" s="37"/>
    </row>
    <row r="7" spans="1:10" x14ac:dyDescent="0.25">
      <c r="A7" s="1">
        <v>45444</v>
      </c>
      <c r="B7" s="34">
        <f t="shared" si="0"/>
        <v>2102.0201001999999</v>
      </c>
      <c r="C7" s="34">
        <v>20</v>
      </c>
      <c r="D7" s="33">
        <f t="shared" si="1"/>
        <v>105.10100500999999</v>
      </c>
      <c r="E7" s="9">
        <f t="shared" si="2"/>
        <v>4.8534312393251157E-2</v>
      </c>
      <c r="F7" t="s">
        <v>60</v>
      </c>
      <c r="G7" s="37"/>
    </row>
    <row r="8" spans="1:10" x14ac:dyDescent="0.25">
      <c r="A8" s="1">
        <v>45474</v>
      </c>
      <c r="B8" s="34">
        <f t="shared" si="0"/>
        <v>2123.0403012020001</v>
      </c>
      <c r="C8" s="34">
        <v>20</v>
      </c>
      <c r="D8" s="33">
        <f t="shared" si="1"/>
        <v>106.1520150601</v>
      </c>
      <c r="E8" s="9">
        <f t="shared" si="2"/>
        <v>5.7954764745793259E-2</v>
      </c>
      <c r="F8" t="s">
        <v>60</v>
      </c>
      <c r="G8" s="37"/>
    </row>
    <row r="9" spans="1:10" x14ac:dyDescent="0.25">
      <c r="A9" s="1">
        <v>45505</v>
      </c>
      <c r="B9" s="34">
        <f t="shared" si="0"/>
        <v>2144.27070421402</v>
      </c>
      <c r="C9" s="34">
        <v>20</v>
      </c>
      <c r="D9" s="33">
        <f t="shared" si="1"/>
        <v>107.213535210701</v>
      </c>
      <c r="E9" s="9">
        <f t="shared" si="2"/>
        <v>6.7281945292864589E-2</v>
      </c>
      <c r="F9" t="s">
        <v>60</v>
      </c>
      <c r="G9" s="37"/>
    </row>
    <row r="10" spans="1:10" x14ac:dyDescent="0.25">
      <c r="A10" s="1">
        <v>45536</v>
      </c>
      <c r="B10" s="34">
        <f t="shared" si="0"/>
        <v>2165.7134112561603</v>
      </c>
      <c r="C10" s="34">
        <v>20</v>
      </c>
      <c r="D10" s="33">
        <f t="shared" si="1"/>
        <v>108.28567056280801</v>
      </c>
      <c r="E10" s="9">
        <f t="shared" si="2"/>
        <v>7.6516777517687734E-2</v>
      </c>
      <c r="F10" t="s">
        <v>60</v>
      </c>
      <c r="G10" s="37"/>
    </row>
    <row r="11" spans="1:10" x14ac:dyDescent="0.25">
      <c r="A11" s="1">
        <v>45566</v>
      </c>
      <c r="B11" s="34">
        <f t="shared" si="0"/>
        <v>2187.3705453687217</v>
      </c>
      <c r="C11" s="34">
        <v>20</v>
      </c>
      <c r="D11" s="33">
        <f t="shared" si="1"/>
        <v>109.36852726843608</v>
      </c>
      <c r="E11" s="9">
        <f t="shared" si="2"/>
        <v>8.5660175760086818E-2</v>
      </c>
      <c r="F11" t="s">
        <v>60</v>
      </c>
      <c r="G11" s="37"/>
    </row>
    <row r="12" spans="1:10" x14ac:dyDescent="0.25">
      <c r="A12" s="1">
        <v>45597</v>
      </c>
      <c r="B12" s="34">
        <f t="shared" si="0"/>
        <v>2209.244250822409</v>
      </c>
      <c r="C12" s="34">
        <v>20</v>
      </c>
      <c r="D12" s="33">
        <f t="shared" si="1"/>
        <v>110.46221254112045</v>
      </c>
      <c r="E12" s="9">
        <f t="shared" si="2"/>
        <v>9.4713045307016713E-2</v>
      </c>
      <c r="F12" t="s">
        <v>60</v>
      </c>
      <c r="G12" s="37"/>
    </row>
    <row r="13" spans="1:10" x14ac:dyDescent="0.25">
      <c r="A13" s="1">
        <v>45627</v>
      </c>
      <c r="B13" s="34">
        <f t="shared" si="0"/>
        <v>2231.3366933306334</v>
      </c>
      <c r="C13" s="34">
        <v>20</v>
      </c>
      <c r="D13" s="33">
        <f t="shared" si="1"/>
        <v>111.56683466653166</v>
      </c>
      <c r="E13" s="9">
        <f t="shared" si="2"/>
        <v>0.10367628248219482</v>
      </c>
      <c r="F13" t="s">
        <v>60</v>
      </c>
      <c r="G13" s="37"/>
    </row>
    <row r="14" spans="1:10" x14ac:dyDescent="0.25">
      <c r="A14" s="1">
        <v>45658</v>
      </c>
      <c r="B14" s="34">
        <f t="shared" si="0"/>
        <v>10000</v>
      </c>
      <c r="C14" s="34">
        <v>1</v>
      </c>
      <c r="D14" s="34">
        <v>10000</v>
      </c>
      <c r="E14" s="9"/>
      <c r="F14" t="s">
        <v>61</v>
      </c>
    </row>
    <row r="15" spans="1:10" x14ac:dyDescent="0.25">
      <c r="A15" s="1">
        <v>45659</v>
      </c>
      <c r="B15" s="34">
        <f t="shared" si="0"/>
        <v>10200</v>
      </c>
      <c r="C15" s="34">
        <v>1</v>
      </c>
      <c r="D15" s="33">
        <f>D14*1.02</f>
        <v>10200</v>
      </c>
      <c r="E15" s="9">
        <f>(D15-$D$14)/D15</f>
        <v>1.9607843137254902E-2</v>
      </c>
      <c r="F15" t="s">
        <v>61</v>
      </c>
      <c r="I15" s="36"/>
      <c r="J15" s="35"/>
    </row>
    <row r="16" spans="1:10" x14ac:dyDescent="0.25">
      <c r="A16" s="1">
        <v>45660</v>
      </c>
      <c r="B16" s="34">
        <f t="shared" si="0"/>
        <v>10404</v>
      </c>
      <c r="C16" s="34">
        <v>1</v>
      </c>
      <c r="D16" s="33">
        <f t="shared" ref="D16:D19" si="3">D15*1.02</f>
        <v>10404</v>
      </c>
      <c r="E16" s="9">
        <f t="shared" ref="E16:E19" si="4">(D16-$D$14)/D16</f>
        <v>3.8831218762014612E-2</v>
      </c>
      <c r="F16" t="s">
        <v>61</v>
      </c>
    </row>
    <row r="17" spans="1:15" x14ac:dyDescent="0.25">
      <c r="A17" s="1">
        <v>45661</v>
      </c>
      <c r="B17" s="34">
        <f t="shared" si="0"/>
        <v>10612.08</v>
      </c>
      <c r="C17" s="34">
        <v>1</v>
      </c>
      <c r="D17" s="33">
        <f t="shared" si="3"/>
        <v>10612.08</v>
      </c>
      <c r="E17" s="9">
        <f t="shared" si="4"/>
        <v>5.7677665452955496E-2</v>
      </c>
      <c r="F17" t="s">
        <v>61</v>
      </c>
    </row>
    <row r="18" spans="1:15" x14ac:dyDescent="0.25">
      <c r="A18" s="1">
        <v>45662</v>
      </c>
      <c r="B18" s="34">
        <f t="shared" si="0"/>
        <v>10824.321599999999</v>
      </c>
      <c r="C18" s="34">
        <v>1</v>
      </c>
      <c r="D18" s="33">
        <f t="shared" si="3"/>
        <v>10824.321599999999</v>
      </c>
      <c r="E18" s="9">
        <f t="shared" si="4"/>
        <v>7.6154573973485726E-2</v>
      </c>
      <c r="F18" t="s">
        <v>61</v>
      </c>
    </row>
    <row r="19" spans="1:15" x14ac:dyDescent="0.25">
      <c r="A19" s="1">
        <v>45663</v>
      </c>
      <c r="B19" s="34">
        <f t="shared" si="0"/>
        <v>11040.808031999999</v>
      </c>
      <c r="C19" s="34">
        <v>1</v>
      </c>
      <c r="D19" s="33">
        <f t="shared" si="3"/>
        <v>11040.808031999999</v>
      </c>
      <c r="E19" s="9">
        <f t="shared" si="4"/>
        <v>9.4269190170084019E-2</v>
      </c>
      <c r="F19" t="s">
        <v>61</v>
      </c>
    </row>
    <row r="20" spans="1:15" x14ac:dyDescent="0.25">
      <c r="A20" s="1">
        <v>45658</v>
      </c>
      <c r="B20" s="34">
        <f>C20*D20</f>
        <v>2184</v>
      </c>
      <c r="C20" s="34">
        <v>39</v>
      </c>
      <c r="D20" s="33">
        <v>56</v>
      </c>
      <c r="E20" s="9"/>
      <c r="F20" t="s">
        <v>62</v>
      </c>
    </row>
    <row r="21" spans="1:15" x14ac:dyDescent="0.25">
      <c r="A21" s="1">
        <v>45659</v>
      </c>
      <c r="B21" s="34">
        <f t="shared" ref="B21:B25" si="5">C21*D21</f>
        <v>2205.84</v>
      </c>
      <c r="C21" s="34">
        <v>39</v>
      </c>
      <c r="D21" s="33">
        <f t="shared" ref="D21:D25" si="6">D20*1.01</f>
        <v>56.56</v>
      </c>
      <c r="E21" s="9">
        <f>(D21-$D$20)/D21</f>
        <v>9.900990099009941E-3</v>
      </c>
      <c r="F21" t="s">
        <v>62</v>
      </c>
      <c r="N21" s="36">
        <v>13336.214</v>
      </c>
      <c r="O21" s="9">
        <f>(N21-N22)/N21</f>
        <v>0.10019440299923202</v>
      </c>
    </row>
    <row r="22" spans="1:15" x14ac:dyDescent="0.25">
      <c r="A22" s="1">
        <v>45660</v>
      </c>
      <c r="B22" s="34">
        <f t="shared" si="5"/>
        <v>2227.8984</v>
      </c>
      <c r="C22" s="34">
        <v>39</v>
      </c>
      <c r="D22" s="33">
        <f t="shared" si="6"/>
        <v>57.125600000000006</v>
      </c>
      <c r="E22" s="9">
        <f t="shared" ref="E22:E25" si="7">(D22-$D$20)/D22</f>
        <v>1.9703950593079209E-2</v>
      </c>
      <c r="F22" t="s">
        <v>62</v>
      </c>
      <c r="N22" s="36">
        <v>12000</v>
      </c>
    </row>
    <row r="23" spans="1:15" x14ac:dyDescent="0.25">
      <c r="A23" s="1">
        <v>45661</v>
      </c>
      <c r="B23" s="34">
        <f t="shared" si="5"/>
        <v>2250.1773840000001</v>
      </c>
      <c r="C23" s="34">
        <v>39</v>
      </c>
      <c r="D23" s="33">
        <f t="shared" si="6"/>
        <v>57.696856000000004</v>
      </c>
      <c r="E23" s="9">
        <f t="shared" si="7"/>
        <v>2.9409852072355622E-2</v>
      </c>
      <c r="F23" t="s">
        <v>62</v>
      </c>
    </row>
    <row r="24" spans="1:15" x14ac:dyDescent="0.25">
      <c r="A24" s="1">
        <v>45662</v>
      </c>
      <c r="B24" s="34">
        <f t="shared" si="5"/>
        <v>2272.6791578400002</v>
      </c>
      <c r="C24" s="34">
        <v>39</v>
      </c>
      <c r="D24" s="33">
        <f t="shared" si="6"/>
        <v>58.273824560000001</v>
      </c>
      <c r="E24" s="9">
        <f t="shared" si="7"/>
        <v>3.9019655517183741E-2</v>
      </c>
      <c r="F24" t="s">
        <v>62</v>
      </c>
    </row>
    <row r="25" spans="1:15" x14ac:dyDescent="0.25">
      <c r="A25" s="1">
        <v>45663</v>
      </c>
      <c r="B25" s="34">
        <f t="shared" si="5"/>
        <v>2295.4059494183998</v>
      </c>
      <c r="C25" s="34">
        <v>39</v>
      </c>
      <c r="D25" s="33">
        <f t="shared" si="6"/>
        <v>58.856562805599999</v>
      </c>
      <c r="E25" s="9">
        <f t="shared" si="7"/>
        <v>4.8534312393251199E-2</v>
      </c>
      <c r="F25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0AD74-DAB8-4BFE-B5A9-530B8F39D471}">
  <dimension ref="A1:H46"/>
  <sheetViews>
    <sheetView workbookViewId="0">
      <selection activeCell="B7" sqref="B7"/>
    </sheetView>
  </sheetViews>
  <sheetFormatPr defaultRowHeight="15" x14ac:dyDescent="0.25"/>
  <cols>
    <col min="1" max="8" width="30.28515625" customWidth="1"/>
  </cols>
  <sheetData>
    <row r="1" spans="1:8" ht="15" customHeight="1" x14ac:dyDescent="0.25">
      <c r="A1" s="44" t="s">
        <v>197</v>
      </c>
      <c r="B1" s="39" t="s">
        <v>66</v>
      </c>
      <c r="C1" s="46" t="s">
        <v>201</v>
      </c>
      <c r="D1" s="40" t="s">
        <v>101</v>
      </c>
      <c r="E1" s="44" t="s">
        <v>203</v>
      </c>
      <c r="F1" s="39" t="s">
        <v>128</v>
      </c>
      <c r="G1" s="46" t="s">
        <v>146</v>
      </c>
      <c r="H1" s="40" t="s">
        <v>157</v>
      </c>
    </row>
    <row r="2" spans="1:8" x14ac:dyDescent="0.25">
      <c r="A2" s="45"/>
      <c r="B2" s="39" t="s">
        <v>67</v>
      </c>
      <c r="C2" s="47"/>
      <c r="D2" s="40" t="s">
        <v>102</v>
      </c>
      <c r="E2" s="45"/>
      <c r="F2" s="39" t="s">
        <v>129</v>
      </c>
      <c r="G2" s="47"/>
      <c r="H2" s="40" t="s">
        <v>163</v>
      </c>
    </row>
    <row r="3" spans="1:8" x14ac:dyDescent="0.25">
      <c r="A3" s="45"/>
      <c r="B3" s="39" t="s">
        <v>68</v>
      </c>
      <c r="C3" s="47"/>
      <c r="D3" s="40" t="s">
        <v>103</v>
      </c>
      <c r="E3" s="45"/>
      <c r="F3" s="39" t="s">
        <v>130</v>
      </c>
      <c r="G3" s="47"/>
      <c r="H3" s="40" t="s">
        <v>159</v>
      </c>
    </row>
    <row r="4" spans="1:8" x14ac:dyDescent="0.25">
      <c r="A4" s="45"/>
      <c r="B4" s="39" t="s">
        <v>69</v>
      </c>
      <c r="C4" s="47"/>
      <c r="D4" s="40" t="s">
        <v>104</v>
      </c>
      <c r="E4" s="45"/>
      <c r="F4" s="39" t="s">
        <v>131</v>
      </c>
      <c r="G4" s="47"/>
      <c r="H4" s="40" t="s">
        <v>160</v>
      </c>
    </row>
    <row r="5" spans="1:8" x14ac:dyDescent="0.25">
      <c r="A5" s="45"/>
      <c r="B5" s="39" t="s">
        <v>70</v>
      </c>
      <c r="C5" s="47"/>
      <c r="D5" s="40" t="s">
        <v>105</v>
      </c>
      <c r="E5" s="45"/>
      <c r="F5" s="39" t="s">
        <v>132</v>
      </c>
      <c r="G5" s="47"/>
      <c r="H5" s="40" t="s">
        <v>161</v>
      </c>
    </row>
    <row r="6" spans="1:8" x14ac:dyDescent="0.25">
      <c r="A6" s="45"/>
      <c r="B6" s="39" t="s">
        <v>71</v>
      </c>
      <c r="C6" s="47"/>
      <c r="D6" s="40" t="s">
        <v>106</v>
      </c>
      <c r="E6" s="45"/>
      <c r="F6" s="39" t="s">
        <v>133</v>
      </c>
      <c r="G6" s="47"/>
      <c r="H6" s="40" t="s">
        <v>162</v>
      </c>
    </row>
    <row r="7" spans="1:8" x14ac:dyDescent="0.25">
      <c r="A7" s="45"/>
      <c r="B7" s="39" t="s">
        <v>72</v>
      </c>
      <c r="C7" s="47"/>
      <c r="D7" s="40" t="s">
        <v>107</v>
      </c>
      <c r="E7" s="45"/>
      <c r="F7" s="39" t="s">
        <v>134</v>
      </c>
      <c r="G7" s="47"/>
      <c r="H7" s="40" t="s">
        <v>158</v>
      </c>
    </row>
    <row r="8" spans="1:8" x14ac:dyDescent="0.25">
      <c r="A8" s="45"/>
      <c r="B8" s="39" t="s">
        <v>73</v>
      </c>
      <c r="C8" s="47"/>
      <c r="D8" s="40" t="s">
        <v>108</v>
      </c>
      <c r="E8" s="45"/>
      <c r="F8" s="39" t="s">
        <v>135</v>
      </c>
      <c r="G8" s="47"/>
      <c r="H8" s="40" t="s">
        <v>164</v>
      </c>
    </row>
    <row r="9" spans="1:8" x14ac:dyDescent="0.25">
      <c r="A9" s="45"/>
      <c r="B9" s="39" t="s">
        <v>74</v>
      </c>
      <c r="C9" s="47"/>
      <c r="D9" s="40" t="s">
        <v>109</v>
      </c>
      <c r="E9" s="45"/>
      <c r="F9" s="39" t="s">
        <v>136</v>
      </c>
      <c r="G9" s="47"/>
      <c r="H9" s="40" t="s">
        <v>165</v>
      </c>
    </row>
    <row r="10" spans="1:8" ht="15" customHeight="1" x14ac:dyDescent="0.25">
      <c r="A10" s="46" t="s">
        <v>200</v>
      </c>
      <c r="B10" s="40" t="s">
        <v>75</v>
      </c>
      <c r="C10" s="44" t="s">
        <v>196</v>
      </c>
      <c r="D10" s="39" t="s">
        <v>110</v>
      </c>
      <c r="E10" s="46" t="s">
        <v>204</v>
      </c>
      <c r="F10" s="40" t="s">
        <v>137</v>
      </c>
      <c r="G10" s="44" t="s">
        <v>207</v>
      </c>
      <c r="H10" s="39" t="s">
        <v>166</v>
      </c>
    </row>
    <row r="11" spans="1:8" x14ac:dyDescent="0.25">
      <c r="A11" s="47"/>
      <c r="B11" s="40" t="s">
        <v>76</v>
      </c>
      <c r="C11" s="45"/>
      <c r="D11" s="39" t="s">
        <v>111</v>
      </c>
      <c r="E11" s="47"/>
      <c r="F11" s="40" t="s">
        <v>138</v>
      </c>
      <c r="G11" s="45"/>
      <c r="H11" s="39" t="s">
        <v>167</v>
      </c>
    </row>
    <row r="12" spans="1:8" x14ac:dyDescent="0.25">
      <c r="A12" s="47"/>
      <c r="B12" s="40" t="s">
        <v>77</v>
      </c>
      <c r="C12" s="45"/>
      <c r="D12" s="39" t="s">
        <v>112</v>
      </c>
      <c r="E12" s="47"/>
      <c r="F12" s="40" t="s">
        <v>139</v>
      </c>
      <c r="G12" s="45"/>
      <c r="H12" s="39" t="s">
        <v>168</v>
      </c>
    </row>
    <row r="13" spans="1:8" x14ac:dyDescent="0.25">
      <c r="A13" s="47"/>
      <c r="B13" s="40" t="s">
        <v>78</v>
      </c>
      <c r="C13" s="45"/>
      <c r="D13" s="39" t="s">
        <v>113</v>
      </c>
      <c r="E13" s="47"/>
      <c r="F13" s="40" t="s">
        <v>140</v>
      </c>
      <c r="G13" s="45"/>
      <c r="H13" s="39" t="s">
        <v>169</v>
      </c>
    </row>
    <row r="14" spans="1:8" x14ac:dyDescent="0.25">
      <c r="A14" s="47"/>
      <c r="B14" s="40" t="s">
        <v>79</v>
      </c>
      <c r="C14" s="45"/>
      <c r="D14" s="39" t="s">
        <v>114</v>
      </c>
      <c r="E14" s="47"/>
      <c r="F14" s="40" t="s">
        <v>141</v>
      </c>
      <c r="G14" s="45"/>
      <c r="H14" s="39" t="s">
        <v>170</v>
      </c>
    </row>
    <row r="15" spans="1:8" x14ac:dyDescent="0.25">
      <c r="A15" s="47"/>
      <c r="B15" s="40" t="s">
        <v>80</v>
      </c>
      <c r="C15" s="45"/>
      <c r="D15" s="39" t="s">
        <v>115</v>
      </c>
      <c r="E15" s="47"/>
      <c r="F15" s="40" t="s">
        <v>142</v>
      </c>
      <c r="G15" s="45"/>
      <c r="H15" s="39" t="s">
        <v>171</v>
      </c>
    </row>
    <row r="16" spans="1:8" x14ac:dyDescent="0.25">
      <c r="A16" s="47"/>
      <c r="B16" s="40" t="s">
        <v>81</v>
      </c>
      <c r="C16" s="45"/>
      <c r="D16" s="39" t="s">
        <v>116</v>
      </c>
      <c r="E16" s="47"/>
      <c r="F16" s="40" t="s">
        <v>143</v>
      </c>
      <c r="G16" s="45"/>
      <c r="H16" s="39" t="s">
        <v>172</v>
      </c>
    </row>
    <row r="17" spans="1:8" x14ac:dyDescent="0.25">
      <c r="A17" s="47"/>
      <c r="B17" s="40" t="s">
        <v>82</v>
      </c>
      <c r="C17" s="45"/>
      <c r="D17" s="39" t="s">
        <v>117</v>
      </c>
      <c r="E17" s="47"/>
      <c r="F17" s="40" t="s">
        <v>144</v>
      </c>
      <c r="G17" s="45"/>
      <c r="H17" s="39" t="s">
        <v>173</v>
      </c>
    </row>
    <row r="18" spans="1:8" x14ac:dyDescent="0.25">
      <c r="A18" s="47"/>
      <c r="B18" s="40" t="s">
        <v>83</v>
      </c>
      <c r="C18" s="45"/>
      <c r="D18" s="39" t="s">
        <v>118</v>
      </c>
      <c r="E18" s="47"/>
      <c r="F18" s="40" t="s">
        <v>145</v>
      </c>
      <c r="G18" s="45"/>
      <c r="H18" s="39" t="s">
        <v>174</v>
      </c>
    </row>
    <row r="19" spans="1:8" ht="15" customHeight="1" x14ac:dyDescent="0.25">
      <c r="A19" s="44" t="s">
        <v>198</v>
      </c>
      <c r="B19" s="39" t="s">
        <v>84</v>
      </c>
      <c r="C19" s="46" t="s">
        <v>202</v>
      </c>
      <c r="D19" s="40" t="s">
        <v>119</v>
      </c>
      <c r="E19" s="44" t="s">
        <v>205</v>
      </c>
      <c r="F19" s="39" t="s">
        <v>175</v>
      </c>
      <c r="G19" s="48" t="s">
        <v>193</v>
      </c>
      <c r="H19" s="41">
        <v>0</v>
      </c>
    </row>
    <row r="20" spans="1:8" x14ac:dyDescent="0.25">
      <c r="A20" s="45"/>
      <c r="B20" s="39" t="s">
        <v>85</v>
      </c>
      <c r="C20" s="47"/>
      <c r="D20" s="40" t="s">
        <v>120</v>
      </c>
      <c r="E20" s="45"/>
      <c r="F20" s="39" t="s">
        <v>176</v>
      </c>
      <c r="G20" s="48"/>
      <c r="H20" s="41" t="s">
        <v>208</v>
      </c>
    </row>
    <row r="21" spans="1:8" x14ac:dyDescent="0.25">
      <c r="A21" s="45"/>
      <c r="B21" s="39" t="s">
        <v>86</v>
      </c>
      <c r="C21" s="47"/>
      <c r="D21" s="40" t="s">
        <v>121</v>
      </c>
      <c r="E21" s="45"/>
      <c r="F21" s="39" t="s">
        <v>177</v>
      </c>
      <c r="G21" s="48"/>
      <c r="H21" s="41" t="s">
        <v>209</v>
      </c>
    </row>
    <row r="22" spans="1:8" x14ac:dyDescent="0.25">
      <c r="A22" s="45"/>
      <c r="B22" s="39" t="s">
        <v>87</v>
      </c>
      <c r="C22" s="47"/>
      <c r="D22" s="40" t="s">
        <v>122</v>
      </c>
      <c r="E22" s="45"/>
      <c r="F22" s="39" t="s">
        <v>178</v>
      </c>
      <c r="G22" s="48"/>
      <c r="H22" s="41" t="s">
        <v>210</v>
      </c>
    </row>
    <row r="23" spans="1:8" x14ac:dyDescent="0.25">
      <c r="A23" s="45"/>
      <c r="B23" s="39" t="s">
        <v>88</v>
      </c>
      <c r="C23" s="47"/>
      <c r="D23" s="40" t="s">
        <v>123</v>
      </c>
      <c r="E23" s="45"/>
      <c r="F23" s="39" t="s">
        <v>179</v>
      </c>
      <c r="G23" s="48"/>
      <c r="H23" s="41" t="s">
        <v>211</v>
      </c>
    </row>
    <row r="24" spans="1:8" x14ac:dyDescent="0.25">
      <c r="A24" s="45"/>
      <c r="B24" s="39" t="s">
        <v>89</v>
      </c>
      <c r="C24" s="47"/>
      <c r="D24" s="40" t="s">
        <v>124</v>
      </c>
      <c r="E24" s="45"/>
      <c r="F24" s="39" t="s">
        <v>180</v>
      </c>
      <c r="G24" s="48"/>
      <c r="H24" s="41" t="s">
        <v>212</v>
      </c>
    </row>
    <row r="25" spans="1:8" x14ac:dyDescent="0.25">
      <c r="A25" s="45"/>
      <c r="B25" s="39" t="s">
        <v>90</v>
      </c>
      <c r="C25" s="47"/>
      <c r="D25" s="40" t="s">
        <v>125</v>
      </c>
      <c r="E25" s="45"/>
      <c r="F25" s="39" t="s">
        <v>181</v>
      </c>
      <c r="G25" s="48"/>
      <c r="H25" s="41" t="s">
        <v>213</v>
      </c>
    </row>
    <row r="26" spans="1:8" x14ac:dyDescent="0.25">
      <c r="A26" s="45"/>
      <c r="B26" s="39" t="s">
        <v>91</v>
      </c>
      <c r="C26" s="47"/>
      <c r="D26" s="40" t="s">
        <v>126</v>
      </c>
      <c r="E26" s="45"/>
      <c r="F26" s="39" t="s">
        <v>182</v>
      </c>
      <c r="G26" s="48"/>
      <c r="H26" s="41" t="s">
        <v>214</v>
      </c>
    </row>
    <row r="27" spans="1:8" x14ac:dyDescent="0.25">
      <c r="A27" s="45"/>
      <c r="B27" s="39" t="s">
        <v>92</v>
      </c>
      <c r="C27" s="47"/>
      <c r="D27" s="40" t="s">
        <v>127</v>
      </c>
      <c r="E27" s="45"/>
      <c r="F27" s="39" t="s">
        <v>183</v>
      </c>
      <c r="G27" s="48"/>
      <c r="H27" s="41" t="s">
        <v>215</v>
      </c>
    </row>
    <row r="28" spans="1:8" ht="15" customHeight="1" x14ac:dyDescent="0.25">
      <c r="A28" s="46" t="s">
        <v>199</v>
      </c>
      <c r="B28" s="40" t="s">
        <v>93</v>
      </c>
      <c r="C28" s="44" t="s">
        <v>156</v>
      </c>
      <c r="D28" s="39" t="s">
        <v>147</v>
      </c>
      <c r="E28" s="46" t="s">
        <v>206</v>
      </c>
      <c r="F28" s="40" t="s">
        <v>184</v>
      </c>
      <c r="G28" s="48" t="s">
        <v>194</v>
      </c>
      <c r="H28" s="41"/>
    </row>
    <row r="29" spans="1:8" x14ac:dyDescent="0.25">
      <c r="A29" s="47"/>
      <c r="B29" s="40" t="s">
        <v>94</v>
      </c>
      <c r="C29" s="45"/>
      <c r="D29" s="39" t="s">
        <v>148</v>
      </c>
      <c r="E29" s="47"/>
      <c r="F29" s="40" t="s">
        <v>185</v>
      </c>
      <c r="G29" s="48"/>
      <c r="H29" s="41"/>
    </row>
    <row r="30" spans="1:8" x14ac:dyDescent="0.25">
      <c r="A30" s="47"/>
      <c r="B30" s="40" t="s">
        <v>195</v>
      </c>
      <c r="C30" s="45"/>
      <c r="D30" s="39" t="s">
        <v>149</v>
      </c>
      <c r="E30" s="47"/>
      <c r="F30" s="40" t="s">
        <v>186</v>
      </c>
      <c r="G30" s="48"/>
      <c r="H30" s="41"/>
    </row>
    <row r="31" spans="1:8" x14ac:dyDescent="0.25">
      <c r="A31" s="47"/>
      <c r="B31" s="40" t="s">
        <v>95</v>
      </c>
      <c r="C31" s="45"/>
      <c r="D31" s="39" t="s">
        <v>150</v>
      </c>
      <c r="E31" s="47"/>
      <c r="F31" s="40" t="s">
        <v>187</v>
      </c>
      <c r="G31" s="48"/>
      <c r="H31" s="41"/>
    </row>
    <row r="32" spans="1:8" x14ac:dyDescent="0.25">
      <c r="A32" s="47"/>
      <c r="B32" s="40" t="s">
        <v>96</v>
      </c>
      <c r="C32" s="45"/>
      <c r="D32" s="39" t="s">
        <v>151</v>
      </c>
      <c r="E32" s="47"/>
      <c r="F32" s="40" t="s">
        <v>188</v>
      </c>
      <c r="G32" s="48"/>
      <c r="H32" s="41"/>
    </row>
    <row r="33" spans="1:8" x14ac:dyDescent="0.25">
      <c r="A33" s="47"/>
      <c r="B33" s="40" t="s">
        <v>97</v>
      </c>
      <c r="C33" s="45"/>
      <c r="D33" s="39" t="s">
        <v>152</v>
      </c>
      <c r="E33" s="47"/>
      <c r="F33" s="40" t="s">
        <v>189</v>
      </c>
      <c r="G33" s="48"/>
      <c r="H33" s="41"/>
    </row>
    <row r="34" spans="1:8" x14ac:dyDescent="0.25">
      <c r="A34" s="47"/>
      <c r="B34" s="40" t="s">
        <v>98</v>
      </c>
      <c r="C34" s="45"/>
      <c r="D34" s="39" t="s">
        <v>153</v>
      </c>
      <c r="E34" s="47"/>
      <c r="F34" s="40" t="s">
        <v>190</v>
      </c>
      <c r="G34" s="48"/>
      <c r="H34" s="41"/>
    </row>
    <row r="35" spans="1:8" x14ac:dyDescent="0.25">
      <c r="A35" s="47"/>
      <c r="B35" s="40" t="s">
        <v>99</v>
      </c>
      <c r="C35" s="45"/>
      <c r="D35" s="39" t="s">
        <v>154</v>
      </c>
      <c r="E35" s="47"/>
      <c r="F35" s="40" t="s">
        <v>191</v>
      </c>
      <c r="G35" s="48"/>
      <c r="H35" s="41"/>
    </row>
    <row r="36" spans="1:8" x14ac:dyDescent="0.25">
      <c r="A36" s="47"/>
      <c r="B36" s="40" t="s">
        <v>100</v>
      </c>
      <c r="C36" s="45"/>
      <c r="D36" s="39" t="s">
        <v>155</v>
      </c>
      <c r="E36" s="47"/>
      <c r="F36" s="40" t="s">
        <v>192</v>
      </c>
      <c r="G36" s="48"/>
      <c r="H36" s="41"/>
    </row>
    <row r="37" spans="1:8" ht="15" customHeight="1" x14ac:dyDescent="0.25"/>
    <row r="46" spans="1:8" ht="15" customHeight="1" x14ac:dyDescent="0.25"/>
  </sheetData>
  <mergeCells count="16">
    <mergeCell ref="E1:E9"/>
    <mergeCell ref="E10:E18"/>
    <mergeCell ref="E19:E27"/>
    <mergeCell ref="E28:E36"/>
    <mergeCell ref="G1:G9"/>
    <mergeCell ref="G10:G18"/>
    <mergeCell ref="G19:G27"/>
    <mergeCell ref="G28:G36"/>
    <mergeCell ref="C10:C18"/>
    <mergeCell ref="C1:C9"/>
    <mergeCell ref="C19:C27"/>
    <mergeCell ref="C28:C36"/>
    <mergeCell ref="A10:A18"/>
    <mergeCell ref="A19:A27"/>
    <mergeCell ref="A28:A36"/>
    <mergeCell ref="A1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Sheet4</vt:lpstr>
    </vt:vector>
  </TitlesOfParts>
  <Company>ExxonMobil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Claro, Joao Paulo P M</dc:creator>
  <cp:lastModifiedBy>Joao Paulo</cp:lastModifiedBy>
  <dcterms:created xsi:type="dcterms:W3CDTF">2023-12-20T13:14:50Z</dcterms:created>
  <dcterms:modified xsi:type="dcterms:W3CDTF">2025-05-22T22:29:35Z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-564728263</vt:i4>
  </property>
  <property fmtid="{D5CDD505-2E9C-101B-9397-08002B2CF9AE}" pid="3" name="_NewReviewCycle">
    <vt:lpwstr/>
  </property>
  <property fmtid="{D5CDD505-2E9C-101B-9397-08002B2CF9AE}" pid="4" name="_EmailSubject">
    <vt:lpwstr>Agenda</vt:lpwstr>
  </property>
  <property fmtid="{D5CDD505-2E9C-101B-9397-08002B2CF9AE}" pid="5" name="_AuthorEmail">
    <vt:lpwstr>joao.p.claro@exxonmobil.com</vt:lpwstr>
  </property>
  <property fmtid="{D5CDD505-2E9C-101B-9397-08002B2CF9AE}" pid="6" name="_AuthorEmailDisplayName">
    <vt:lpwstr>Claro, Joao Paulo P M</vt:lpwstr>
  </property>
  <property fmtid="{D5CDD505-2E9C-101B-9397-08002B2CF9AE}" pid="7" name="_ReviewingToolsShownOnce">
    <vt:lpwstr/>
  </property>
</Properties>
</file>